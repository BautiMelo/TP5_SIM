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unciado" sheetId="1" r:id="rId5"/>
    <sheet state="visible" name="Resolucion" sheetId="2" r:id="rId6"/>
    <sheet state="visible" name="Método de Euler" sheetId="3" r:id="rId7"/>
  </sheets>
  <definedNames>
    <definedName name="_FM3">Resolucion!$I$6</definedName>
    <definedName name="_LM">Resolucion!$I$3</definedName>
    <definedName name="_FM4">Resolucion!$I$7</definedName>
    <definedName name="_I">Resolucion!$V$4</definedName>
    <definedName name="_FM2">Resolucion!$I$5</definedName>
    <definedName name="_T_Es">Resolucion!$R$4</definedName>
    <definedName name="_FA4">Resolucion!$H$7</definedName>
    <definedName name="_FA5">Resolucion!$H$8</definedName>
    <definedName name="_FM1">Resolucion!$I$4</definedName>
    <definedName name="_L">Resolucion!$V$3</definedName>
    <definedName name="_T_Sa">Resolucion!$R$5</definedName>
    <definedName name="_FM5">Resolucion!$I$8</definedName>
    <definedName name="_FA3">Resolucion!$H$6</definedName>
    <definedName name="_aAtencion">Resolucion!$C$4</definedName>
    <definedName name="_a">Resolucion!$C$3</definedName>
    <definedName name="_LA">Resolucion!$H$3</definedName>
    <definedName name="_b">Resolucion!$D$3</definedName>
    <definedName name="_media">Resolucion!$D$2</definedName>
    <definedName name="_M">Resolucion!$V$5</definedName>
    <definedName name="_FA2">Resolucion!$H$5</definedName>
    <definedName name="_h">'Método de Euler'!$B$1</definedName>
    <definedName name="_aDemora">Resolucion!$C$5</definedName>
    <definedName name="_T_tr">Resolucion!$R$3</definedName>
    <definedName name="_bDemora">Resolucion!$D$5</definedName>
    <definedName name="_bAtencion">Resolucion!$D$4</definedName>
    <definedName name="_FA1">Resolucion!$H$4</definedName>
  </definedNames>
  <calcPr/>
</workbook>
</file>

<file path=xl/sharedStrings.xml><?xml version="1.0" encoding="utf-8"?>
<sst xmlns="http://schemas.openxmlformats.org/spreadsheetml/2006/main" count="215" uniqueCount="110">
  <si>
    <r>
      <rPr>
        <rFont val="Arial"/>
        <b/>
        <color theme="1"/>
        <sz val="12.0"/>
      </rPr>
      <t xml:space="preserve">Inscripción a exámenes
</t>
    </r>
    <r>
      <rPr>
        <rFont val="Arial"/>
        <color theme="1"/>
        <sz val="12.0"/>
      </rPr>
      <t xml:space="preserve">Sea un lugar de inscripción a exámenes para alumnos de la UNVM, existen 5 equipos para inscribirse y la inscripción demora de 5 a 8 minutos uniformemente distribuida. Los alumnos llegan para inscribirse con una distribución exponencial negativa de media 2’. Una persona de sistemas hace mantenimiento preventivo a cada computadora, empezando siempre por la pc nro 1, luego la nro 2 y así sucesivamente.
</t>
    </r>
    <r>
      <rPr>
        <rFont val="Arial"/>
        <b/>
        <color theme="1"/>
        <sz val="12.0"/>
      </rPr>
      <t xml:space="preserve">El tiempo de Demora del mantenimiento de las pc depende de la cantidad de archivos que tenga (A0) que pueden ser 1000, 1500 ó  2000 archivos </t>
    </r>
    <r>
      <rPr>
        <rFont val="Arial"/>
        <color theme="1"/>
        <sz val="12.0"/>
      </rPr>
      <t xml:space="preserve">
Donde:
Por cuestiones de configuración no puede alterar el orden del mantenimiento de las pc.  
Tiene prioridad sobre los alumnos pero no interrumpe la inscripción. Esta persona regresa a hacer el mantenimiento en 1 hora ± 3’ desde que finalizo el mantenimiento de la última máquina.  
Si un alumno llega y hay más de 6 alumnos esperando, se va y regresa a la media hora.  
Determine el % de alumnos que se van para regresar más tarde.  
Determine el promedio de tiempo ocioso del personal de mantenimiento por vez que va a la sala de inscripción a realizar su tarea.  
Determine cantidad de veces por día promedio que va él personal de mantenimiento de los equipos.  </t>
    </r>
  </si>
  <si>
    <t xml:space="preserve">Nota: En el RND de cantidad de archivos (en la hoja "Resolución") suponemos una distribucion uniforme porque el ejercicio no especificaba
En base a ese RND, buscamos la cantidad de archivos que corresponden según la tabla "Cantidad de archivos"
Según la cantidad de archivos, se calcula el tiempo de mantenimiento según el método numérico
En este caso, con 10 líneas el personal de mantenimiento no llega a aparecer en la simulación, pero dejamos la lógica
para cuando aparezca.
</t>
  </si>
  <si>
    <t>Formula de demora</t>
  </si>
  <si>
    <t>Formula aplicando Euler</t>
  </si>
  <si>
    <t>En la consigna no está definida la unidad en la que trabaja “t” por lo que se lo que lo definiremos de forma arbitraria a 1 unidad de t = 1 minuto porque lo consideramos un tiempo coherente según la ecuación diferencial dada.</t>
  </si>
  <si>
    <t>Servidores</t>
  </si>
  <si>
    <t>5 paralelos</t>
  </si>
  <si>
    <t>Estados servidor</t>
  </si>
  <si>
    <t>Estados alumnos</t>
  </si>
  <si>
    <t>Estado Tecnico</t>
  </si>
  <si>
    <t>Eventos</t>
  </si>
  <si>
    <t>Demora inscripcion</t>
  </si>
  <si>
    <t>5-8 (Uniforme)</t>
  </si>
  <si>
    <t>Inscribiendo</t>
  </si>
  <si>
    <t>Esperando turno</t>
  </si>
  <si>
    <t>Trabajando</t>
  </si>
  <si>
    <t>Llegada alumno</t>
  </si>
  <si>
    <t>Llegada mantenimiento</t>
  </si>
  <si>
    <t>Media=2 (Exp Neg)</t>
  </si>
  <si>
    <t>Mantenimiento</t>
  </si>
  <si>
    <t>Siendo inscripto</t>
  </si>
  <si>
    <t>Esperando</t>
  </si>
  <si>
    <t>Fin atencion sv1</t>
  </si>
  <si>
    <t>Fin mant sv1</t>
  </si>
  <si>
    <t>Duracion mantenimiento</t>
  </si>
  <si>
    <t>Ecuación diferencial</t>
  </si>
  <si>
    <t>Libre</t>
  </si>
  <si>
    <t>Salio</t>
  </si>
  <si>
    <t>Fin atencion sv2</t>
  </si>
  <si>
    <t>Fin mant sv2</t>
  </si>
  <si>
    <t>57-63 (Uniforme)</t>
  </si>
  <si>
    <t>Fin atencion sv3</t>
  </si>
  <si>
    <t>Fin mant sv3</t>
  </si>
  <si>
    <t>Fin atencion sv4</t>
  </si>
  <si>
    <t>Fin mant sv4</t>
  </si>
  <si>
    <t>Fin atencion sv5</t>
  </si>
  <si>
    <t>Fin mant sv5</t>
  </si>
  <si>
    <t>Diagrama de estados (Servidor)</t>
  </si>
  <si>
    <t>Diagrama de estados  (Alumnos)</t>
  </si>
  <si>
    <t>Diagrama de estados (Tecnico)</t>
  </si>
  <si>
    <t>Exp Negativa</t>
  </si>
  <si>
    <t>Media</t>
  </si>
  <si>
    <t>Estados Servidor</t>
  </si>
  <si>
    <t>Uniforme</t>
  </si>
  <si>
    <t>_T_tr</t>
  </si>
  <si>
    <t>_L</t>
  </si>
  <si>
    <t>Atencion alumno</t>
  </si>
  <si>
    <t>_T_Es</t>
  </si>
  <si>
    <t>_I</t>
  </si>
  <si>
    <t>Demora mantenimiento</t>
  </si>
  <si>
    <t>Ecuacion diferencial</t>
  </si>
  <si>
    <t>_T_Sa</t>
  </si>
  <si>
    <t>_M</t>
  </si>
  <si>
    <t>h</t>
  </si>
  <si>
    <t>Generador aleatorios</t>
  </si>
  <si>
    <t>Cantidad de archivos</t>
  </si>
  <si>
    <t>Cantidad</t>
  </si>
  <si>
    <t>Prob</t>
  </si>
  <si>
    <t>Prob acum</t>
  </si>
  <si>
    <t>Lim inf</t>
  </si>
  <si>
    <t>Lim sup</t>
  </si>
  <si>
    <t>Servidor 1</t>
  </si>
  <si>
    <t>Servidor 2</t>
  </si>
  <si>
    <t>Servidor 3</t>
  </si>
  <si>
    <t>Servidor 4</t>
  </si>
  <si>
    <t>Servidor 5</t>
  </si>
  <si>
    <t>RESPUESTAS</t>
  </si>
  <si>
    <t>Alumnos/Personal mantenimiento</t>
  </si>
  <si>
    <t>Asignacion de servidor</t>
  </si>
  <si>
    <t>Estado</t>
  </si>
  <si>
    <t>Fin atencion alumno</t>
  </si>
  <si>
    <t>Fin mantenimiento</t>
  </si>
  <si>
    <t>AC de tiempo regreso de alumno</t>
  </si>
  <si>
    <t>Tecnico</t>
  </si>
  <si>
    <t>AUTO</t>
  </si>
  <si>
    <t>MANUAL</t>
  </si>
  <si>
    <t>N</t>
  </si>
  <si>
    <t>Evento</t>
  </si>
  <si>
    <t>Reloj</t>
  </si>
  <si>
    <t>RND</t>
  </si>
  <si>
    <t>Tiempo entre llegadas</t>
  </si>
  <si>
    <t>Proxima llegada</t>
  </si>
  <si>
    <t>Cola de alumnos</t>
  </si>
  <si>
    <t>Numero de servidor</t>
  </si>
  <si>
    <t>Tiempo atencion</t>
  </si>
  <si>
    <t>Fin atencion</t>
  </si>
  <si>
    <t>RND cantidad de archivos</t>
  </si>
  <si>
    <t>Tiempo mantenimiento</t>
  </si>
  <si>
    <t>Servidor actual</t>
  </si>
  <si>
    <t>Contador regresa mas tarde</t>
  </si>
  <si>
    <t>Acumulador alumnos</t>
  </si>
  <si>
    <t>Acumulador tiempo ocioso (sincrono)</t>
  </si>
  <si>
    <t>Cantidad de visitas tecnicas</t>
  </si>
  <si>
    <t>Porcentaje de alumnos que se van</t>
  </si>
  <si>
    <t>Promedio de tiempo ocioso por visita</t>
  </si>
  <si>
    <t>Promedio de veces que va el p. de mantenimiento por dia</t>
  </si>
  <si>
    <t>Ev</t>
  </si>
  <si>
    <t>Serv</t>
  </si>
  <si>
    <t>Inicializacion</t>
  </si>
  <si>
    <t>-</t>
  </si>
  <si>
    <t>INS</t>
  </si>
  <si>
    <t>INC</t>
  </si>
  <si>
    <t>X</t>
  </si>
  <si>
    <t>El RND cantidad de archivos se calcula cuando el técnico llega al servidor</t>
  </si>
  <si>
    <t>La cantidad de archivos se determina con una funcion buscar()</t>
  </si>
  <si>
    <t>El tiempo mantenimiento se calcula con el método numérico</t>
  </si>
  <si>
    <t>A</t>
  </si>
  <si>
    <t>ti</t>
  </si>
  <si>
    <t>Ai</t>
  </si>
  <si>
    <t>Ai+1</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</si>
</sst>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theme="1"/>
      <name val="Arial"/>
    </font>
    <font>
      <color theme="1"/>
      <name val="Arial"/>
      <scheme val="minor"/>
    </font>
    <font/>
    <font>
      <b/>
      <color theme="1"/>
      <name val="Arial"/>
    </font>
    <font>
      <b/>
      <color theme="1"/>
      <name val="Arial"/>
      <scheme val="minor"/>
    </font>
    <font>
      <b/>
      <i/>
      <color theme="1"/>
      <name val="Arial"/>
    </font>
    <font>
      <color rgb="FFFF0000"/>
      <name val="Arial"/>
    </font>
  </fonts>
  <fills count="15">
    <fill>
      <patternFill patternType="none"/>
    </fill>
    <fill>
      <patternFill patternType="lightGray"/>
    </fill>
    <fill>
      <patternFill patternType="solid">
        <fgColor rgb="FFA4C2F4"/>
        <bgColor rgb="FFA4C2F4"/>
      </patternFill>
    </fill>
    <fill>
      <patternFill patternType="solid">
        <fgColor rgb="FF00FF00"/>
        <bgColor rgb="FF00FF00"/>
      </patternFill>
    </fill>
    <fill>
      <patternFill patternType="solid">
        <fgColor rgb="FF0000FF"/>
        <bgColor rgb="FF0000FF"/>
      </patternFill>
    </fill>
    <fill>
      <patternFill patternType="solid">
        <fgColor rgb="FFFF9900"/>
        <bgColor rgb="FFFF9900"/>
      </patternFill>
    </fill>
    <fill>
      <patternFill patternType="solid">
        <fgColor rgb="FFD9EAD3"/>
        <bgColor rgb="FFD9EAD3"/>
      </patternFill>
    </fill>
    <fill>
      <patternFill patternType="solid">
        <fgColor rgb="FFCFE2F3"/>
        <bgColor rgb="FFCFE2F3"/>
      </patternFill>
    </fill>
    <fill>
      <patternFill patternType="solid">
        <fgColor rgb="FFFCE5CD"/>
        <bgColor rgb="FFFCE5CD"/>
      </patternFill>
    </fill>
    <fill>
      <patternFill patternType="solid">
        <fgColor rgb="FF93C47D"/>
        <bgColor rgb="FF93C47D"/>
      </patternFill>
    </fill>
    <fill>
      <patternFill patternType="solid">
        <fgColor rgb="FFD9D2E9"/>
        <bgColor rgb="FFD9D2E9"/>
      </patternFill>
    </fill>
    <fill>
      <patternFill patternType="solid">
        <fgColor rgb="FFC27BA0"/>
        <bgColor rgb="FFC27BA0"/>
      </patternFill>
    </fill>
    <fill>
      <patternFill patternType="solid">
        <fgColor rgb="FFFFF2CC"/>
        <bgColor rgb="FFFFF2CC"/>
      </patternFill>
    </fill>
    <fill>
      <patternFill patternType="solid">
        <fgColor rgb="FFEAD1DC"/>
        <bgColor rgb="FFEAD1DC"/>
      </patternFill>
    </fill>
    <fill>
      <patternFill patternType="solid">
        <fgColor rgb="FF9FC5E8"/>
        <bgColor rgb="FF9FC5E8"/>
      </patternFill>
    </fill>
  </fills>
  <borders count="35">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medium">
        <color rgb="FF000000"/>
      </left>
      <right style="medium">
        <color rgb="FF000000"/>
      </right>
      <top style="medium">
        <color rgb="FF000000"/>
      </top>
      <bottom style="medium">
        <color rgb="FF000000"/>
      </bottom>
    </border>
    <border>
      <left style="thick">
        <color rgb="FF000000"/>
      </left>
      <top style="thick">
        <color rgb="FF000000"/>
      </top>
    </border>
    <border>
      <top style="thick">
        <color rgb="FF000000"/>
      </top>
    </border>
    <border>
      <right style="thick">
        <color rgb="FF000000"/>
      </right>
      <top style="thick">
        <color rgb="FF000000"/>
      </top>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top style="thick">
        <color rgb="FF000000"/>
      </top>
    </border>
    <border>
      <left style="thick">
        <color rgb="FF000000"/>
      </left>
    </border>
    <border>
      <right style="thick">
        <color rgb="FF000000"/>
      </right>
    </border>
    <border>
      <left style="medium">
        <color rgb="FF000000"/>
      </left>
      <right style="thin">
        <color rgb="FF000000"/>
      </right>
      <top style="medium">
        <color rgb="FF000000"/>
      </top>
      <bottom style="thin">
        <color rgb="FF000000"/>
      </bottom>
    </border>
    <border>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ck">
        <color rgb="FF000000"/>
      </left>
      <top style="thin">
        <color rgb="FF000000"/>
      </top>
    </border>
    <border>
      <right style="thin">
        <color rgb="FF000000"/>
      </right>
      <top style="thin">
        <color rgb="FF000000"/>
      </top>
    </border>
    <border>
      <left style="thin">
        <color rgb="FF000000"/>
      </left>
      <top style="thin">
        <color rgb="FF000000"/>
      </top>
    </border>
    <border>
      <right style="thick">
        <color rgb="FF000000"/>
      </right>
      <top style="thin">
        <color rgb="FF000000"/>
      </top>
    </border>
    <border>
      <left style="thin">
        <color rgb="FF000000"/>
      </left>
    </border>
    <border>
      <right style="thin">
        <color rgb="FF000000"/>
      </right>
    </border>
    <border>
      <left style="medium">
        <color rgb="FF000000"/>
      </left>
      <right style="thin">
        <color rgb="FF000000"/>
      </right>
      <top style="thin">
        <color rgb="FF000000"/>
      </top>
    </border>
    <border>
      <left style="thin">
        <color rgb="FF000000"/>
      </left>
      <right style="medium">
        <color rgb="FF000000"/>
      </right>
      <top style="thin">
        <color rgb="FF000000"/>
      </top>
    </border>
    <border>
      <left style="thick">
        <color rgb="FF000000"/>
      </left>
      <bottom style="thick">
        <color rgb="FF000000"/>
      </bottom>
    </border>
    <border>
      <right style="thin">
        <color rgb="FF000000"/>
      </right>
      <bottom style="thick">
        <color rgb="FF000000"/>
      </bottom>
    </border>
    <border>
      <left style="thin">
        <color rgb="FF000000"/>
      </left>
      <bottom style="thick">
        <color rgb="FF000000"/>
      </bottom>
    </border>
    <border>
      <right style="thick">
        <color rgb="FF000000"/>
      </right>
      <bottom style="thick">
        <color rgb="FF000000"/>
      </bottom>
    </border>
  </borders>
  <cellStyleXfs count="1">
    <xf borderId="0" fillId="0" fontId="0" numFmtId="0" applyAlignment="1" applyFont="1"/>
  </cellStyleXfs>
  <cellXfs count="155">
    <xf borderId="0" fillId="0" fontId="0" numFmtId="0" xfId="0" applyAlignment="1" applyFont="1">
      <alignment readingOrder="0" shrinkToFit="0" vertical="bottom" wrapText="0"/>
    </xf>
    <xf borderId="0" fillId="0" fontId="1" numFmtId="0" xfId="0" applyAlignment="1" applyFont="1">
      <alignment horizontal="left" readingOrder="0" shrinkToFit="0" wrapText="1"/>
    </xf>
    <xf borderId="0" fillId="2" fontId="2" numFmtId="0" xfId="0" applyAlignment="1" applyFill="1" applyFont="1">
      <alignment readingOrder="0"/>
    </xf>
    <xf borderId="0" fillId="0" fontId="2" numFmtId="0" xfId="0" applyAlignment="1" applyFont="1">
      <alignment readingOrder="0"/>
    </xf>
    <xf borderId="0" fillId="0" fontId="2" numFmtId="0" xfId="0" applyAlignment="1" applyFont="1">
      <alignment horizontal="center" readingOrder="0"/>
    </xf>
    <xf borderId="0" fillId="0" fontId="2" numFmtId="0" xfId="0" applyAlignment="1" applyFont="1">
      <alignment readingOrder="0" shrinkToFit="0" wrapText="1"/>
    </xf>
    <xf borderId="1" fillId="0" fontId="1" numFmtId="0" xfId="0" applyAlignment="1" applyBorder="1" applyFont="1">
      <alignment horizontal="center"/>
    </xf>
    <xf borderId="2" fillId="0" fontId="3" numFmtId="0" xfId="0" applyBorder="1" applyFont="1"/>
    <xf borderId="3" fillId="0" fontId="1" numFmtId="0" xfId="0" applyAlignment="1" applyBorder="1" applyFont="1">
      <alignment horizontal="center"/>
    </xf>
    <xf borderId="3" fillId="3" fontId="1" numFmtId="0" xfId="0" applyBorder="1" applyFill="1" applyFont="1"/>
    <xf borderId="3" fillId="4" fontId="1" numFmtId="0" xfId="0" applyBorder="1" applyFill="1" applyFont="1"/>
    <xf borderId="0" fillId="5" fontId="1" numFmtId="0" xfId="0" applyFill="1" applyFont="1"/>
    <xf borderId="3" fillId="6" fontId="1" numFmtId="0" xfId="0" applyBorder="1" applyFill="1" applyFont="1"/>
    <xf borderId="3" fillId="7" fontId="1" numFmtId="0" xfId="0" applyBorder="1" applyFill="1" applyFont="1"/>
    <xf borderId="0" fillId="8" fontId="1" numFmtId="0" xfId="0" applyFill="1" applyFont="1"/>
    <xf borderId="3" fillId="0" fontId="1" numFmtId="0" xfId="0" applyBorder="1" applyFont="1"/>
    <xf borderId="3" fillId="0" fontId="1" numFmtId="0" xfId="0" applyAlignment="1" applyBorder="1" applyFont="1">
      <alignment horizontal="center" readingOrder="0"/>
    </xf>
    <xf borderId="0" fillId="0" fontId="1" numFmtId="0" xfId="0" applyAlignment="1" applyFont="1">
      <alignment horizontal="center"/>
    </xf>
    <xf borderId="0" fillId="0" fontId="1" numFmtId="0" xfId="0" applyFont="1"/>
    <xf borderId="1" fillId="0" fontId="1" numFmtId="0" xfId="0" applyBorder="1" applyFont="1"/>
    <xf borderId="4" fillId="0" fontId="3" numFmtId="0" xfId="0" applyBorder="1" applyFont="1"/>
    <xf borderId="0" fillId="0" fontId="1" numFmtId="0" xfId="0" applyAlignment="1" applyFont="1">
      <alignment shrinkToFit="0" vertical="center" wrapText="1"/>
    </xf>
    <xf borderId="5" fillId="0" fontId="1" numFmtId="0" xfId="0" applyBorder="1" applyFont="1"/>
    <xf borderId="5" fillId="0" fontId="1" numFmtId="0" xfId="0" applyAlignment="1" applyBorder="1" applyFont="1">
      <alignment readingOrder="0"/>
    </xf>
    <xf borderId="1" fillId="0" fontId="1" numFmtId="0" xfId="0" applyAlignment="1" applyBorder="1" applyFont="1">
      <alignment readingOrder="0"/>
    </xf>
    <xf borderId="6" fillId="0" fontId="3" numFmtId="0" xfId="0" applyBorder="1" applyFont="1"/>
    <xf borderId="3" fillId="0" fontId="2" numFmtId="0" xfId="0" applyAlignment="1" applyBorder="1" applyFont="1">
      <alignment readingOrder="0"/>
    </xf>
    <xf borderId="7" fillId="9" fontId="1" numFmtId="0" xfId="0" applyBorder="1" applyFill="1" applyFont="1"/>
    <xf borderId="7" fillId="0" fontId="1" numFmtId="2" xfId="0" applyBorder="1" applyFont="1" applyNumberFormat="1"/>
    <xf borderId="0" fillId="0" fontId="4" numFmtId="0" xfId="0" applyAlignment="1" applyFont="1">
      <alignment horizontal="center"/>
    </xf>
    <xf borderId="1" fillId="0" fontId="5" numFmtId="0" xfId="0" applyAlignment="1" applyBorder="1" applyFont="1">
      <alignment horizontal="center" readingOrder="0"/>
    </xf>
    <xf borderId="3" fillId="0" fontId="5" numFmtId="0" xfId="0" applyAlignment="1" applyBorder="1" applyFont="1">
      <alignment readingOrder="0"/>
    </xf>
    <xf borderId="3" fillId="0" fontId="5" numFmtId="0" xfId="0" applyBorder="1" applyFont="1"/>
    <xf borderId="3" fillId="0" fontId="2" numFmtId="0" xfId="0" applyBorder="1" applyFont="1"/>
    <xf borderId="3" fillId="0" fontId="2" numFmtId="2" xfId="0" applyAlignment="1" applyBorder="1" applyFont="1" applyNumberFormat="1">
      <alignment readingOrder="0"/>
    </xf>
    <xf borderId="3" fillId="0" fontId="2" numFmtId="2" xfId="0" applyBorder="1" applyFont="1" applyNumberFormat="1"/>
    <xf borderId="3" fillId="0" fontId="2" numFmtId="0" xfId="0" applyBorder="1" applyFont="1"/>
    <xf borderId="8" fillId="0" fontId="6" numFmtId="0" xfId="0" applyAlignment="1" applyBorder="1" applyFont="1">
      <alignment horizontal="center"/>
    </xf>
    <xf borderId="9" fillId="0" fontId="3" numFmtId="0" xfId="0" applyBorder="1" applyFont="1"/>
    <xf borderId="10" fillId="0" fontId="3" numFmtId="0" xfId="0" applyBorder="1" applyFont="1"/>
    <xf borderId="0" fillId="0" fontId="6" numFmtId="0" xfId="0" applyFont="1"/>
    <xf borderId="8" fillId="0" fontId="6" numFmtId="0" xfId="0" applyAlignment="1" applyBorder="1" applyFont="1">
      <alignment horizontal="center" vertical="bottom"/>
    </xf>
    <xf borderId="0" fillId="0" fontId="6" numFmtId="0" xfId="0" applyAlignment="1" applyFont="1">
      <alignment horizontal="center" vertical="bottom"/>
    </xf>
    <xf borderId="0" fillId="0" fontId="1" numFmtId="0" xfId="0" applyAlignment="1" applyFont="1">
      <alignment horizontal="center" vertical="bottom"/>
    </xf>
    <xf borderId="0" fillId="0" fontId="1" numFmtId="0" xfId="0" applyAlignment="1" applyFont="1">
      <alignment horizontal="center" shrinkToFit="0" vertical="center" wrapText="1"/>
    </xf>
    <xf borderId="0" fillId="0" fontId="1" numFmtId="0" xfId="0" applyAlignment="1" applyFont="1">
      <alignment shrinkToFit="0" wrapText="1"/>
    </xf>
    <xf borderId="11" fillId="6" fontId="4" numFmtId="0" xfId="0" applyAlignment="1" applyBorder="1" applyFont="1">
      <alignment horizontal="center"/>
    </xf>
    <xf borderId="12" fillId="0" fontId="3" numFmtId="0" xfId="0" applyBorder="1" applyFont="1"/>
    <xf borderId="13" fillId="0" fontId="3" numFmtId="0" xfId="0" applyBorder="1" applyFont="1"/>
    <xf borderId="8" fillId="10" fontId="4" numFmtId="0" xfId="0" applyAlignment="1" applyBorder="1" applyFill="1" applyFont="1">
      <alignment horizontal="center"/>
    </xf>
    <xf borderId="8" fillId="0" fontId="1" numFmtId="0" xfId="0" applyBorder="1" applyFont="1"/>
    <xf borderId="9" fillId="0" fontId="1" numFmtId="0" xfId="0" applyBorder="1" applyFont="1"/>
    <xf borderId="9" fillId="6" fontId="1" numFmtId="0" xfId="0" applyAlignment="1" applyBorder="1" applyFont="1">
      <alignment horizontal="center"/>
    </xf>
    <xf borderId="9" fillId="8" fontId="1" numFmtId="0" xfId="0" applyAlignment="1" applyBorder="1" applyFont="1">
      <alignment horizontal="center"/>
    </xf>
    <xf borderId="14" fillId="11" fontId="1" numFmtId="0" xfId="0" applyAlignment="1" applyBorder="1" applyFill="1" applyFont="1">
      <alignment horizontal="center"/>
    </xf>
    <xf borderId="15" fillId="12" fontId="1" numFmtId="0" xfId="0" applyAlignment="1" applyBorder="1" applyFill="1" applyFont="1">
      <alignment horizontal="center" shrinkToFit="0" wrapText="1"/>
    </xf>
    <xf borderId="0" fillId="6" fontId="1" numFmtId="0" xfId="0" applyAlignment="1" applyFont="1">
      <alignment horizontal="center"/>
    </xf>
    <xf borderId="0" fillId="8" fontId="1" numFmtId="0" xfId="0" applyAlignment="1" applyFont="1">
      <alignment horizontal="center"/>
    </xf>
    <xf borderId="16" fillId="0" fontId="3" numFmtId="0" xfId="0" applyBorder="1" applyFont="1"/>
    <xf borderId="0" fillId="6" fontId="1" numFmtId="0" xfId="0" applyAlignment="1" applyFont="1">
      <alignment horizontal="center" vertical="bottom"/>
    </xf>
    <xf borderId="0" fillId="8" fontId="1" numFmtId="0" xfId="0" applyAlignment="1" applyFont="1">
      <alignment horizontal="center" vertical="bottom"/>
    </xf>
    <xf borderId="8" fillId="13" fontId="1" numFmtId="0" xfId="0" applyAlignment="1" applyBorder="1" applyFill="1" applyFont="1">
      <alignment horizontal="center" shrinkToFit="0" vertical="center" wrapText="1"/>
    </xf>
    <xf borderId="9" fillId="7" fontId="1" numFmtId="0" xfId="0" applyAlignment="1" applyBorder="1" applyFont="1">
      <alignment horizontal="center" shrinkToFit="0" wrapText="1"/>
    </xf>
    <xf borderId="17" fillId="0" fontId="7" numFmtId="0" xfId="0" applyBorder="1" applyFont="1"/>
    <xf borderId="18" fillId="0" fontId="7" numFmtId="0" xfId="0" applyBorder="1" applyFont="1"/>
    <xf borderId="19" fillId="0" fontId="7" numFmtId="0" xfId="0" applyBorder="1" applyFont="1"/>
    <xf borderId="20" fillId="0" fontId="7" numFmtId="0" xfId="0" applyBorder="1" applyFont="1"/>
    <xf borderId="0" fillId="0" fontId="7" numFmtId="0" xfId="0" applyFont="1"/>
    <xf borderId="21" fillId="6" fontId="4" numFmtId="0" xfId="0" applyAlignment="1" applyBorder="1" applyFont="1">
      <alignment horizontal="center" shrinkToFit="0" vertical="bottom" wrapText="1"/>
    </xf>
    <xf borderId="3" fillId="6" fontId="4" numFmtId="0" xfId="0" applyAlignment="1" applyBorder="1" applyFont="1">
      <alignment horizontal="center" shrinkToFit="0" vertical="bottom" wrapText="1"/>
    </xf>
    <xf borderId="22" fillId="6" fontId="4" numFmtId="0" xfId="0" applyAlignment="1" applyBorder="1" applyFont="1">
      <alignment horizontal="center" shrinkToFit="0" vertical="bottom" wrapText="1"/>
    </xf>
    <xf borderId="0" fillId="0" fontId="4" numFmtId="0" xfId="0" applyAlignment="1" applyFont="1">
      <alignment horizontal="center" shrinkToFit="0" vertical="bottom" wrapText="1"/>
    </xf>
    <xf borderId="23" fillId="10" fontId="4" numFmtId="0" xfId="0" applyAlignment="1" applyBorder="1" applyFont="1">
      <alignment horizontal="center" shrinkToFit="0" vertical="bottom" wrapText="1"/>
    </xf>
    <xf borderId="24" fillId="0" fontId="3" numFmtId="0" xfId="0" applyBorder="1" applyFont="1"/>
    <xf borderId="25" fillId="10" fontId="4" numFmtId="0" xfId="0" applyAlignment="1" applyBorder="1" applyFont="1">
      <alignment horizontal="center" shrinkToFit="0" vertical="bottom" wrapText="1"/>
    </xf>
    <xf borderId="25" fillId="10" fontId="4" numFmtId="0" xfId="0" applyAlignment="1" applyBorder="1" applyFont="1">
      <alignment horizontal="center"/>
    </xf>
    <xf borderId="26" fillId="0" fontId="3" numFmtId="0" xfId="0" applyBorder="1" applyFont="1"/>
    <xf borderId="0" fillId="0" fontId="1" numFmtId="0" xfId="0" applyAlignment="1" applyFont="1">
      <alignment horizontal="center" shrinkToFit="0" vertical="bottom" wrapText="1"/>
    </xf>
    <xf borderId="15" fillId="0" fontId="1" numFmtId="0" xfId="0" applyAlignment="1" applyBorder="1" applyFont="1">
      <alignment horizontal="center" shrinkToFit="0" vertical="bottom" wrapText="1"/>
    </xf>
    <xf borderId="0" fillId="6" fontId="1" numFmtId="0" xfId="0" applyAlignment="1" applyFont="1">
      <alignment horizontal="center" shrinkToFit="0" vertical="bottom" wrapText="1"/>
    </xf>
    <xf borderId="0" fillId="8" fontId="1" numFmtId="0" xfId="0" applyAlignment="1" applyFont="1">
      <alignment horizontal="center" shrinkToFit="0" vertical="bottom" wrapText="1"/>
    </xf>
    <xf borderId="16" fillId="8" fontId="1" numFmtId="0" xfId="0" applyAlignment="1" applyBorder="1" applyFont="1">
      <alignment horizontal="center" shrinkToFit="0" vertical="bottom" wrapText="1"/>
    </xf>
    <xf borderId="0" fillId="0" fontId="1" numFmtId="0" xfId="0" applyAlignment="1" applyFont="1">
      <alignment horizontal="center" shrinkToFit="0" wrapText="1"/>
    </xf>
    <xf borderId="15" fillId="0" fontId="1" numFmtId="0" xfId="0" applyAlignment="1" applyBorder="1" applyFont="1">
      <alignment horizontal="center" shrinkToFit="0" wrapText="1"/>
    </xf>
    <xf borderId="27" fillId="11" fontId="1" numFmtId="0" xfId="0" applyBorder="1" applyFont="1"/>
    <xf borderId="16" fillId="11" fontId="1" numFmtId="0" xfId="0" applyBorder="1" applyFont="1"/>
    <xf borderId="15" fillId="0" fontId="3" numFmtId="0" xfId="0" applyBorder="1" applyFont="1"/>
    <xf borderId="0" fillId="6" fontId="1" numFmtId="0" xfId="0" applyAlignment="1" applyFont="1">
      <alignment horizontal="center" shrinkToFit="0" wrapText="1"/>
    </xf>
    <xf borderId="0" fillId="8" fontId="1" numFmtId="0" xfId="0" applyAlignment="1" applyFont="1">
      <alignment horizontal="center" readingOrder="0" shrinkToFit="0" vertical="center" wrapText="1"/>
    </xf>
    <xf borderId="0" fillId="8" fontId="1" numFmtId="0" xfId="0" applyAlignment="1" applyFont="1">
      <alignment horizontal="center" readingOrder="0" shrinkToFit="0" wrapText="1"/>
    </xf>
    <xf borderId="0" fillId="8" fontId="1" numFmtId="0" xfId="0" applyAlignment="1" applyFont="1">
      <alignment horizontal="center" shrinkToFit="0" wrapText="1"/>
    </xf>
    <xf borderId="16" fillId="8" fontId="1" numFmtId="0" xfId="0" applyAlignment="1" applyBorder="1" applyFont="1">
      <alignment horizontal="center" shrinkToFit="0" wrapText="1"/>
    </xf>
    <xf borderId="0" fillId="7" fontId="1" numFmtId="0" xfId="0" applyAlignment="1" applyFont="1">
      <alignment horizontal="center" shrinkToFit="0" vertical="center" wrapText="1"/>
    </xf>
    <xf borderId="16" fillId="7" fontId="1" numFmtId="0" xfId="0" applyAlignment="1" applyBorder="1" applyFont="1">
      <alignment horizontal="center" shrinkToFit="0" vertical="center" wrapText="1"/>
    </xf>
    <xf borderId="21" fillId="12" fontId="1" numFmtId="0" xfId="0" applyAlignment="1" applyBorder="1" applyFont="1">
      <alignment horizontal="center" shrinkToFit="0" vertical="bottom" wrapText="1"/>
    </xf>
    <xf borderId="2" fillId="12" fontId="1" numFmtId="0" xfId="0" applyAlignment="1" applyBorder="1" applyFont="1">
      <alignment horizontal="center" shrinkToFit="0" vertical="bottom" wrapText="1"/>
    </xf>
    <xf borderId="3" fillId="12" fontId="1" numFmtId="0" xfId="0" applyAlignment="1" applyBorder="1" applyFont="1">
      <alignment horizontal="center" shrinkToFit="0" vertical="bottom" wrapText="1"/>
    </xf>
    <xf borderId="22" fillId="12" fontId="1" numFmtId="0" xfId="0" applyAlignment="1" applyBorder="1" applyFont="1">
      <alignment horizontal="center" shrinkToFit="0" vertical="bottom" wrapText="1"/>
    </xf>
    <xf borderId="21" fillId="6" fontId="1" numFmtId="0" xfId="0" applyAlignment="1" applyBorder="1" applyFont="1">
      <alignment horizontal="center" shrinkToFit="0" wrapText="1"/>
    </xf>
    <xf borderId="3" fillId="6" fontId="1" numFmtId="0" xfId="0" applyAlignment="1" applyBorder="1" applyFont="1">
      <alignment horizontal="center" shrinkToFit="0" wrapText="1"/>
    </xf>
    <xf borderId="22" fillId="6" fontId="1" numFmtId="0" xfId="0" applyAlignment="1" applyBorder="1" applyFont="1">
      <alignment horizontal="center" shrinkToFit="0" wrapText="1"/>
    </xf>
    <xf borderId="15" fillId="10" fontId="1" numFmtId="0" xfId="0" applyBorder="1" applyFont="1"/>
    <xf borderId="28" fillId="10" fontId="1" numFmtId="0" xfId="0" applyBorder="1" applyFont="1"/>
    <xf borderId="27" fillId="10" fontId="1" numFmtId="0" xfId="0" applyBorder="1" applyFont="1"/>
    <xf borderId="27" fillId="10" fontId="1" numFmtId="0" xfId="0" applyAlignment="1" applyBorder="1" applyFont="1">
      <alignment vertical="bottom"/>
    </xf>
    <xf borderId="28" fillId="10" fontId="1" numFmtId="0" xfId="0" applyAlignment="1" applyBorder="1" applyFont="1">
      <alignment vertical="bottom"/>
    </xf>
    <xf borderId="27" fillId="10" fontId="1" numFmtId="0" xfId="0" applyAlignment="1" applyBorder="1" applyFont="1">
      <alignment horizontal="left" shrinkToFit="0" vertical="bottom" wrapText="1"/>
    </xf>
    <xf borderId="16" fillId="10" fontId="1" numFmtId="0" xfId="0" applyAlignment="1" applyBorder="1" applyFont="1">
      <alignment horizontal="left" shrinkToFit="0" vertical="bottom" wrapText="1"/>
    </xf>
    <xf borderId="0" fillId="0" fontId="1" numFmtId="0" xfId="0" applyAlignment="1" applyFont="1">
      <alignment horizontal="left" shrinkToFit="0" vertical="bottom" wrapText="1"/>
    </xf>
    <xf borderId="0" fillId="14" fontId="1" numFmtId="0" xfId="0" applyFill="1" applyFont="1"/>
    <xf borderId="15" fillId="0" fontId="1" numFmtId="0" xfId="0" applyBorder="1" applyFont="1"/>
    <xf borderId="0" fillId="0" fontId="1" numFmtId="4" xfId="0" applyFont="1" applyNumberFormat="1"/>
    <xf borderId="0" fillId="6" fontId="1" numFmtId="2" xfId="0" applyFont="1" applyNumberFormat="1"/>
    <xf borderId="0" fillId="6" fontId="1" numFmtId="4" xfId="0" applyFont="1" applyNumberFormat="1"/>
    <xf borderId="0" fillId="8" fontId="1" numFmtId="2" xfId="0" applyFont="1" applyNumberFormat="1"/>
    <xf borderId="16" fillId="8" fontId="1" numFmtId="4" xfId="0" applyBorder="1" applyFont="1" applyNumberFormat="1"/>
    <xf borderId="27" fillId="11" fontId="1" numFmtId="0" xfId="0" applyAlignment="1" applyBorder="1" applyFont="1">
      <alignment vertical="bottom"/>
    </xf>
    <xf borderId="15" fillId="12" fontId="1" numFmtId="0" xfId="0" applyBorder="1" applyFont="1"/>
    <xf borderId="0" fillId="6" fontId="1" numFmtId="0" xfId="0" applyFont="1"/>
    <xf borderId="16" fillId="8" fontId="1" numFmtId="0" xfId="0" applyBorder="1" applyFont="1"/>
    <xf borderId="0" fillId="6" fontId="1" numFmtId="0" xfId="0" applyAlignment="1" applyFont="1">
      <alignment vertical="bottom"/>
    </xf>
    <xf borderId="0" fillId="8" fontId="1" numFmtId="0" xfId="0" applyAlignment="1" applyFont="1">
      <alignment vertical="bottom"/>
    </xf>
    <xf borderId="16" fillId="8" fontId="1" numFmtId="0" xfId="0" applyAlignment="1" applyBorder="1" applyFont="1">
      <alignment vertical="bottom"/>
    </xf>
    <xf borderId="0" fillId="0" fontId="1" numFmtId="0" xfId="0" applyAlignment="1" applyFont="1">
      <alignment vertical="bottom"/>
    </xf>
    <xf borderId="15" fillId="13" fontId="1" numFmtId="2" xfId="0" applyBorder="1" applyFont="1" applyNumberFormat="1"/>
    <xf borderId="0" fillId="7" fontId="1" numFmtId="0" xfId="0" applyFont="1"/>
    <xf borderId="16" fillId="7" fontId="1" numFmtId="0" xfId="0" applyBorder="1" applyFont="1"/>
    <xf borderId="21" fillId="12" fontId="1" numFmtId="0" xfId="0" applyBorder="1" applyFont="1"/>
    <xf borderId="2" fillId="12" fontId="1" numFmtId="0" xfId="0" applyBorder="1" applyFont="1"/>
    <xf borderId="3" fillId="12" fontId="1" numFmtId="0" xfId="0" applyBorder="1" applyFont="1"/>
    <xf borderId="22" fillId="12" fontId="1" numFmtId="0" xfId="0" applyBorder="1" applyFont="1"/>
    <xf borderId="21" fillId="6" fontId="1" numFmtId="0" xfId="0" applyBorder="1" applyFont="1"/>
    <xf borderId="22" fillId="6" fontId="1" numFmtId="0" xfId="0" applyBorder="1" applyFont="1"/>
    <xf borderId="16" fillId="10" fontId="1" numFmtId="0" xfId="0" applyBorder="1" applyFont="1"/>
    <xf borderId="0" fillId="0" fontId="1" numFmtId="2" xfId="0" applyFont="1" applyNumberFormat="1"/>
    <xf borderId="27" fillId="11" fontId="1" numFmtId="0" xfId="0" applyAlignment="1" applyBorder="1" applyFont="1">
      <alignment horizontal="right" vertical="bottom"/>
    </xf>
    <xf borderId="0" fillId="8" fontId="1" numFmtId="0" xfId="0" applyAlignment="1" applyFont="1">
      <alignment readingOrder="0"/>
    </xf>
    <xf borderId="21" fillId="6" fontId="1" numFmtId="10" xfId="0" applyBorder="1" applyFont="1" applyNumberFormat="1"/>
    <xf borderId="28" fillId="10" fontId="1" numFmtId="0" xfId="0" applyAlignment="1" applyBorder="1" applyFont="1">
      <alignment horizontal="right" vertical="bottom"/>
    </xf>
    <xf borderId="29" fillId="12" fontId="1" numFmtId="0" xfId="0" applyBorder="1" applyFont="1"/>
    <xf borderId="24" fillId="12" fontId="1" numFmtId="0" xfId="0" applyBorder="1" applyFont="1"/>
    <xf borderId="5" fillId="12" fontId="1" numFmtId="0" xfId="0" applyBorder="1" applyFont="1"/>
    <xf borderId="30" fillId="12" fontId="1" numFmtId="0" xfId="0" applyBorder="1" applyFont="1"/>
    <xf borderId="29" fillId="6" fontId="1" numFmtId="10" xfId="0" applyBorder="1" applyFont="1" applyNumberFormat="1"/>
    <xf borderId="5" fillId="6" fontId="1" numFmtId="0" xfId="0" applyBorder="1" applyFont="1"/>
    <xf borderId="30" fillId="6" fontId="1" numFmtId="0" xfId="0" applyBorder="1" applyFont="1"/>
    <xf borderId="31" fillId="10" fontId="1" numFmtId="0" xfId="0" applyBorder="1" applyFont="1"/>
    <xf borderId="32" fillId="10" fontId="1" numFmtId="0" xfId="0" applyBorder="1" applyFont="1"/>
    <xf borderId="33" fillId="10" fontId="1" numFmtId="0" xfId="0" applyBorder="1" applyFont="1"/>
    <xf borderId="33" fillId="10" fontId="1" numFmtId="0" xfId="0" applyAlignment="1" applyBorder="1" applyFont="1">
      <alignment vertical="bottom"/>
    </xf>
    <xf borderId="32" fillId="10" fontId="1" numFmtId="0" xfId="0" applyAlignment="1" applyBorder="1" applyFont="1">
      <alignment vertical="bottom"/>
    </xf>
    <xf borderId="34" fillId="10" fontId="1" numFmtId="0" xfId="0" applyBorder="1" applyFont="1"/>
    <xf borderId="0" fillId="0" fontId="1" numFmtId="0" xfId="0" applyAlignment="1" applyFont="1">
      <alignment readingOrder="0" shrinkToFit="0" vertical="center" wrapText="1"/>
    </xf>
    <xf borderId="0" fillId="0" fontId="1" numFmtId="0" xfId="0" applyAlignment="1" applyFont="1">
      <alignment horizontal="right" vertical="bottom"/>
    </xf>
    <xf borderId="0" fillId="0" fontId="2" numFmtId="0" xfId="0" applyFont="1"/>
  </cellXfs>
  <cellStyles count="1">
    <cellStyle xfId="0" name="Normal" builtinId="0"/>
  </cellStyles>
  <dxfs count="1">
    <dxf>
      <font/>
      <fill>
        <patternFill patternType="solid">
          <fgColor rgb="FFDD7E6B"/>
          <bgColor rgb="FFDD7E6B"/>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133350</xdr:colOff>
      <xdr:row>22</xdr:row>
      <xdr:rowOff>28575</xdr:rowOff>
    </xdr:from>
    <xdr:ext cx="8077200" cy="6038850"/>
    <xdr:grpSp>
      <xdr:nvGrpSpPr>
        <xdr:cNvPr id="2" name="Shape 2"/>
        <xdr:cNvGrpSpPr/>
      </xdr:nvGrpSpPr>
      <xdr:grpSpPr>
        <a:xfrm>
          <a:off x="1307400" y="760575"/>
          <a:ext cx="8077200" cy="6038850"/>
          <a:chOff x="1307400" y="760575"/>
          <a:chExt cx="8077200" cy="6038850"/>
        </a:xfrm>
      </xdr:grpSpPr>
      <xdr:grpSp>
        <xdr:nvGrpSpPr>
          <xdr:cNvPr id="3" name="Shape 3" title="Dibujo"/>
          <xdr:cNvGrpSpPr/>
        </xdr:nvGrpSpPr>
        <xdr:grpSpPr>
          <a:xfrm>
            <a:off x="1307400" y="760575"/>
            <a:ext cx="8077200" cy="6038850"/>
            <a:chOff x="-1174700" y="81450"/>
            <a:chExt cx="11420025" cy="6024550"/>
          </a:xfrm>
        </xdr:grpSpPr>
        <xdr:sp>
          <xdr:nvSpPr>
            <xdr:cNvPr id="4" name="Shape 4"/>
            <xdr:cNvSpPr/>
          </xdr:nvSpPr>
          <xdr:spPr>
            <a:xfrm>
              <a:off x="-1174700" y="81450"/>
              <a:ext cx="11420025" cy="6024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5" name="Shape 5"/>
            <xdr:cNvSpPr/>
          </xdr:nvSpPr>
          <xdr:spPr>
            <a:xfrm>
              <a:off x="904675" y="1045350"/>
              <a:ext cx="1676700" cy="6225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rPr lang="en-US" sz="1400"/>
                <a:t>Libre</a:t>
              </a:r>
              <a:endParaRPr sz="1400"/>
            </a:p>
          </xdr:txBody>
        </xdr:sp>
        <xdr:sp>
          <xdr:nvSpPr>
            <xdr:cNvPr id="6" name="Shape 6"/>
            <xdr:cNvSpPr/>
          </xdr:nvSpPr>
          <xdr:spPr>
            <a:xfrm>
              <a:off x="6238225" y="1045350"/>
              <a:ext cx="1676700" cy="6225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rPr lang="en-US" sz="1400"/>
                <a:t>Mantenimiento</a:t>
              </a:r>
              <a:endParaRPr sz="1400"/>
            </a:p>
          </xdr:txBody>
        </xdr:sp>
        <xdr:sp>
          <xdr:nvSpPr>
            <xdr:cNvPr id="7" name="Shape 7"/>
            <xdr:cNvSpPr/>
          </xdr:nvSpPr>
          <xdr:spPr>
            <a:xfrm>
              <a:off x="3733650" y="5475200"/>
              <a:ext cx="1676700" cy="6225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rPr lang="en-US" sz="1400"/>
                <a:t>Inscribiendo</a:t>
              </a:r>
              <a:endParaRPr sz="1400"/>
            </a:p>
          </xdr:txBody>
        </xdr:sp>
        <xdr:sp>
          <xdr:nvSpPr>
            <xdr:cNvPr id="8" name="Shape 8"/>
            <xdr:cNvSpPr/>
          </xdr:nvSpPr>
          <xdr:spPr>
            <a:xfrm>
              <a:off x="2702000" y="1005175"/>
              <a:ext cx="3414900" cy="120600"/>
            </a:xfrm>
            <a:prstGeom prst="rightArrow">
              <a:avLst>
                <a:gd fmla="val 50000" name="adj1"/>
                <a:gd fmla="val 50000" name="adj2"/>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sp>
          <xdr:nvSpPr>
            <xdr:cNvPr id="9" name="Shape 9"/>
            <xdr:cNvSpPr/>
          </xdr:nvSpPr>
          <xdr:spPr>
            <a:xfrm>
              <a:off x="2712850" y="1547250"/>
              <a:ext cx="3393900" cy="120600"/>
            </a:xfrm>
            <a:prstGeom prst="leftArrow">
              <a:avLst>
                <a:gd fmla="val 50000" name="adj1"/>
                <a:gd fmla="val 50000" name="adj2"/>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sp>
          <xdr:nvSpPr>
            <xdr:cNvPr id="10" name="Shape 10"/>
            <xdr:cNvSpPr/>
          </xdr:nvSpPr>
          <xdr:spPr>
            <a:xfrm rot="10800000">
              <a:off x="5473475" y="1698100"/>
              <a:ext cx="2339400" cy="4407900"/>
            </a:xfrm>
            <a:prstGeom prst="bentArrow">
              <a:avLst>
                <a:gd fmla="val 6326" name="adj1"/>
                <a:gd fmla="val 6868" name="adj2"/>
                <a:gd fmla="val 25000" name="adj3"/>
                <a:gd fmla="val 43750" name="adj4"/>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sp>
          <xdr:nvSpPr>
            <xdr:cNvPr id="11" name="Shape 11"/>
            <xdr:cNvSpPr/>
          </xdr:nvSpPr>
          <xdr:spPr>
            <a:xfrm rot="-5400000">
              <a:off x="178900" y="2523950"/>
              <a:ext cx="4277700" cy="2705700"/>
            </a:xfrm>
            <a:prstGeom prst="bentArrow">
              <a:avLst>
                <a:gd fmla="val 6326" name="adj1"/>
                <a:gd fmla="val 8560" name="adj2"/>
                <a:gd fmla="val 25000" name="adj3"/>
                <a:gd fmla="val 43750" name="adj4"/>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sp>
          <xdr:nvSpPr>
            <xdr:cNvPr id="12" name="Shape 12"/>
            <xdr:cNvSpPr/>
          </xdr:nvSpPr>
          <xdr:spPr>
            <a:xfrm flipH="1" rot="10800000">
              <a:off x="2254825" y="1738200"/>
              <a:ext cx="1415700" cy="3976200"/>
            </a:xfrm>
            <a:prstGeom prst="bentArrow">
              <a:avLst>
                <a:gd fmla="val 9599" name="adj1"/>
                <a:gd fmla="val 11348" name="adj2"/>
                <a:gd fmla="val 25000" name="adj3"/>
                <a:gd fmla="val 43750" name="adj4"/>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sp>
          <xdr:nvSpPr>
            <xdr:cNvPr id="13" name="Shape 13"/>
            <xdr:cNvSpPr/>
          </xdr:nvSpPr>
          <xdr:spPr>
            <a:xfrm flipH="1" rot="5400000">
              <a:off x="4163025" y="3108850"/>
              <a:ext cx="3865800" cy="1164600"/>
            </a:xfrm>
            <a:prstGeom prst="bentArrow">
              <a:avLst>
                <a:gd fmla="val 9599" name="adj1"/>
                <a:gd fmla="val 11348" name="adj2"/>
                <a:gd fmla="val 25000" name="adj3"/>
                <a:gd fmla="val 43750" name="adj4"/>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sp>
          <xdr:nvSpPr>
            <xdr:cNvPr id="14" name="Shape 14"/>
            <xdr:cNvSpPr txBox="1"/>
          </xdr:nvSpPr>
          <xdr:spPr>
            <a:xfrm>
              <a:off x="2892375" y="571675"/>
              <a:ext cx="2705700" cy="5541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SzPts val="1200"/>
                <a:buFont typeface="Arial"/>
                <a:buNone/>
              </a:pPr>
              <a:r>
                <a:rPr lang="en-US" sz="1200"/>
                <a:t>Evento: Llegada mantenimiento (en caso de servidor 1)</a:t>
              </a:r>
              <a:endParaRPr sz="1200"/>
            </a:p>
          </xdr:txBody>
        </xdr:sp>
        <xdr:sp>
          <xdr:nvSpPr>
            <xdr:cNvPr id="15" name="Shape 15"/>
            <xdr:cNvSpPr txBox="1"/>
          </xdr:nvSpPr>
          <xdr:spPr>
            <a:xfrm>
              <a:off x="3015050" y="1593325"/>
              <a:ext cx="2705700" cy="7389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SzPts val="1200"/>
                <a:buFont typeface="Arial"/>
                <a:buNone/>
              </a:pPr>
              <a:r>
                <a:rPr lang="en-US" sz="1200"/>
                <a:t>Evento: Final de mantenimiento del servidor x y no hay alumnos en la cola</a:t>
              </a:r>
              <a:endParaRPr sz="1200"/>
            </a:p>
          </xdr:txBody>
        </xdr:sp>
        <xdr:sp>
          <xdr:nvSpPr>
            <xdr:cNvPr id="16" name="Shape 16"/>
            <xdr:cNvSpPr txBox="1"/>
          </xdr:nvSpPr>
          <xdr:spPr>
            <a:xfrm rot="-5400000">
              <a:off x="4140975" y="3253500"/>
              <a:ext cx="3725100" cy="5541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SzPts val="1200"/>
                <a:buFont typeface="Arial"/>
                <a:buNone/>
              </a:pPr>
              <a:r>
                <a:rPr lang="en-US" sz="1200"/>
                <a:t>Evento: Final de inscripción de servidor x y el técnico está esperando ese servidor</a:t>
              </a:r>
              <a:endParaRPr sz="1200"/>
            </a:p>
          </xdr:txBody>
        </xdr:sp>
        <xdr:sp>
          <xdr:nvSpPr>
            <xdr:cNvPr id="17" name="Shape 17"/>
            <xdr:cNvSpPr txBox="1"/>
          </xdr:nvSpPr>
          <xdr:spPr>
            <a:xfrm rot="-5400000">
              <a:off x="6138625" y="3685250"/>
              <a:ext cx="4106700" cy="5541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SzPts val="1200"/>
                <a:buFont typeface="Arial"/>
                <a:buNone/>
              </a:pPr>
              <a:r>
                <a:rPr lang="en-US" sz="1200"/>
                <a:t>Evento: Final de mantenimiento del servidor x  y hay alumnos en la cola</a:t>
              </a:r>
              <a:endParaRPr sz="1000"/>
            </a:p>
          </xdr:txBody>
        </xdr:sp>
        <xdr:sp>
          <xdr:nvSpPr>
            <xdr:cNvPr id="18" name="Shape 18"/>
            <xdr:cNvSpPr txBox="1"/>
          </xdr:nvSpPr>
          <xdr:spPr>
            <a:xfrm rot="-5400000">
              <a:off x="-1174700" y="3494450"/>
              <a:ext cx="3725100" cy="5541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SzPts val="1200"/>
                <a:buFont typeface="Arial"/>
                <a:buNone/>
              </a:pPr>
              <a:r>
                <a:rPr lang="en-US" sz="1200"/>
                <a:t>Evento: Final de inscripción de servidor x y el técnico no está esperando ese servidor</a:t>
              </a:r>
              <a:endParaRPr sz="1200"/>
            </a:p>
          </xdr:txBody>
        </xdr:sp>
        <xdr:sp>
          <xdr:nvSpPr>
            <xdr:cNvPr id="19" name="Shape 19"/>
            <xdr:cNvSpPr txBox="1"/>
          </xdr:nvSpPr>
          <xdr:spPr>
            <a:xfrm rot="-5400000">
              <a:off x="1356888" y="3151950"/>
              <a:ext cx="2705700" cy="5541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SzPts val="1200"/>
                <a:buFont typeface="Arial"/>
                <a:buNone/>
              </a:pPr>
              <a:r>
                <a:rPr lang="en-US" sz="1200"/>
                <a:t>Evento: Llegada alumno  y le toca a este servidor</a:t>
              </a:r>
              <a:endParaRPr sz="1200"/>
            </a:p>
          </xdr:txBody>
        </xdr:sp>
        <xdr:sp>
          <xdr:nvSpPr>
            <xdr:cNvPr id="20" name="Shape 20"/>
            <xdr:cNvSpPr txBox="1"/>
          </xdr:nvSpPr>
          <xdr:spPr>
            <a:xfrm>
              <a:off x="3015050" y="81450"/>
              <a:ext cx="3102000" cy="5541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SzPts val="1200"/>
                <a:buFont typeface="Arial"/>
                <a:buNone/>
              </a:pPr>
              <a:r>
                <a:rPr lang="en-US" sz="1200"/>
                <a:t>Evento: Final mantenimiento del servidor x-1 (en caso de servidor distinto al 1)</a:t>
              </a:r>
              <a:endParaRPr sz="1200"/>
            </a:p>
          </xdr:txBody>
        </xdr:sp>
      </xdr:grpSp>
    </xdr:grpSp>
    <xdr:clientData fLocksWithSheet="0"/>
  </xdr:oneCellAnchor>
  <xdr:oneCellAnchor>
    <xdr:from>
      <xdr:col>18</xdr:col>
      <xdr:colOff>609600</xdr:colOff>
      <xdr:row>24</xdr:row>
      <xdr:rowOff>-200025</xdr:rowOff>
    </xdr:from>
    <xdr:ext cx="7524750" cy="5848350"/>
    <xdr:grpSp>
      <xdr:nvGrpSpPr>
        <xdr:cNvPr id="2" name="Shape 2"/>
        <xdr:cNvGrpSpPr/>
      </xdr:nvGrpSpPr>
      <xdr:grpSpPr>
        <a:xfrm>
          <a:off x="1583625" y="855825"/>
          <a:ext cx="7524750" cy="5848350"/>
          <a:chOff x="1583625" y="855825"/>
          <a:chExt cx="7524750" cy="5848350"/>
        </a:xfrm>
      </xdr:grpSpPr>
      <xdr:grpSp>
        <xdr:nvGrpSpPr>
          <xdr:cNvPr id="21" name="Shape 21" title="Dibujo"/>
          <xdr:cNvGrpSpPr/>
        </xdr:nvGrpSpPr>
        <xdr:grpSpPr>
          <a:xfrm>
            <a:off x="1583625" y="855825"/>
            <a:ext cx="7524750" cy="5848350"/>
            <a:chOff x="-1174700" y="266275"/>
            <a:chExt cx="9203525" cy="5831425"/>
          </a:xfrm>
        </xdr:grpSpPr>
        <xdr:sp>
          <xdr:nvSpPr>
            <xdr:cNvPr id="4" name="Shape 4"/>
            <xdr:cNvSpPr/>
          </xdr:nvSpPr>
          <xdr:spPr>
            <a:xfrm>
              <a:off x="-1174700" y="266275"/>
              <a:ext cx="9203525" cy="583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22" name="Shape 22"/>
            <xdr:cNvSpPr/>
          </xdr:nvSpPr>
          <xdr:spPr>
            <a:xfrm>
              <a:off x="904675" y="1045350"/>
              <a:ext cx="1676700" cy="6225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rPr lang="en-US" sz="1400"/>
                <a:t>Trabajando</a:t>
              </a:r>
              <a:endParaRPr sz="1400"/>
            </a:p>
          </xdr:txBody>
        </xdr:sp>
        <xdr:sp>
          <xdr:nvSpPr>
            <xdr:cNvPr id="23" name="Shape 23"/>
            <xdr:cNvSpPr/>
          </xdr:nvSpPr>
          <xdr:spPr>
            <a:xfrm>
              <a:off x="6238225" y="1045350"/>
              <a:ext cx="1676700" cy="6225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rPr lang="en-US" sz="1400"/>
                <a:t>Esperando </a:t>
              </a:r>
              <a:endParaRPr sz="1400"/>
            </a:p>
          </xdr:txBody>
        </xdr:sp>
        <xdr:sp>
          <xdr:nvSpPr>
            <xdr:cNvPr id="24" name="Shape 24"/>
            <xdr:cNvSpPr/>
          </xdr:nvSpPr>
          <xdr:spPr>
            <a:xfrm>
              <a:off x="3733650" y="5475200"/>
              <a:ext cx="1676700" cy="6225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rPr lang="en-US" sz="1400"/>
                <a:t>Salió</a:t>
              </a:r>
              <a:endParaRPr sz="1400"/>
            </a:p>
          </xdr:txBody>
        </xdr:sp>
        <xdr:sp>
          <xdr:nvSpPr>
            <xdr:cNvPr id="25" name="Shape 25"/>
            <xdr:cNvSpPr/>
          </xdr:nvSpPr>
          <xdr:spPr>
            <a:xfrm>
              <a:off x="2702000" y="1005175"/>
              <a:ext cx="3414900" cy="120600"/>
            </a:xfrm>
            <a:prstGeom prst="rightArrow">
              <a:avLst>
                <a:gd fmla="val 50000" name="adj1"/>
                <a:gd fmla="val 50000" name="adj2"/>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sp>
          <xdr:nvSpPr>
            <xdr:cNvPr id="26" name="Shape 26"/>
            <xdr:cNvSpPr/>
          </xdr:nvSpPr>
          <xdr:spPr>
            <a:xfrm>
              <a:off x="2712850" y="1547250"/>
              <a:ext cx="3393900" cy="120600"/>
            </a:xfrm>
            <a:prstGeom prst="leftArrow">
              <a:avLst>
                <a:gd fmla="val 50000" name="adj1"/>
                <a:gd fmla="val 50000" name="adj2"/>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sp>
          <xdr:nvSpPr>
            <xdr:cNvPr id="27" name="Shape 27"/>
            <xdr:cNvSpPr/>
          </xdr:nvSpPr>
          <xdr:spPr>
            <a:xfrm rot="-5400000">
              <a:off x="178900" y="2523950"/>
              <a:ext cx="4277700" cy="2705700"/>
            </a:xfrm>
            <a:prstGeom prst="bentArrow">
              <a:avLst>
                <a:gd fmla="val 6326" name="adj1"/>
                <a:gd fmla="val 8560" name="adj2"/>
                <a:gd fmla="val 25000" name="adj3"/>
                <a:gd fmla="val 43750" name="adj4"/>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sp>
          <xdr:nvSpPr>
            <xdr:cNvPr id="28" name="Shape 28"/>
            <xdr:cNvSpPr/>
          </xdr:nvSpPr>
          <xdr:spPr>
            <a:xfrm flipH="1" rot="10800000">
              <a:off x="2254825" y="1738200"/>
              <a:ext cx="1415700" cy="3976200"/>
            </a:xfrm>
            <a:prstGeom prst="bentArrow">
              <a:avLst>
                <a:gd fmla="val 9599" name="adj1"/>
                <a:gd fmla="val 11348" name="adj2"/>
                <a:gd fmla="val 25000" name="adj3"/>
                <a:gd fmla="val 43750" name="adj4"/>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sp>
          <xdr:nvSpPr>
            <xdr:cNvPr id="29" name="Shape 29"/>
            <xdr:cNvSpPr/>
          </xdr:nvSpPr>
          <xdr:spPr>
            <a:xfrm flipH="1" rot="5400000">
              <a:off x="4163025" y="3108850"/>
              <a:ext cx="3865800" cy="1164600"/>
            </a:xfrm>
            <a:prstGeom prst="bentArrow">
              <a:avLst>
                <a:gd fmla="val 9599" name="adj1"/>
                <a:gd fmla="val 11348" name="adj2"/>
                <a:gd fmla="val 25000" name="adj3"/>
                <a:gd fmla="val 43750" name="adj4"/>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sp>
          <xdr:nvSpPr>
            <xdr:cNvPr id="30" name="Shape 30"/>
            <xdr:cNvSpPr txBox="1"/>
          </xdr:nvSpPr>
          <xdr:spPr>
            <a:xfrm>
              <a:off x="2986800" y="1698100"/>
              <a:ext cx="2973600" cy="5541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SzPts val="1200"/>
                <a:buFont typeface="Arial"/>
                <a:buNone/>
              </a:pPr>
              <a:r>
                <a:rPr lang="en-US" sz="1200"/>
                <a:t>Evento: Final de inscripción de servidor esperado</a:t>
              </a:r>
              <a:endParaRPr sz="1200"/>
            </a:p>
          </xdr:txBody>
        </xdr:sp>
        <xdr:sp>
          <xdr:nvSpPr>
            <xdr:cNvPr id="31" name="Shape 31"/>
            <xdr:cNvSpPr txBox="1"/>
          </xdr:nvSpPr>
          <xdr:spPr>
            <a:xfrm rot="-5400000">
              <a:off x="-1174700" y="3494450"/>
              <a:ext cx="3725100" cy="5541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SzPts val="1200"/>
                <a:buFont typeface="Arial"/>
                <a:buNone/>
              </a:pPr>
              <a:r>
                <a:rPr lang="en-US" sz="1200"/>
                <a:t>Evento: Llegada de mantenimiento y el servidor 1 está Libre</a:t>
              </a:r>
              <a:endParaRPr sz="1200"/>
            </a:p>
          </xdr:txBody>
        </xdr:sp>
        <xdr:sp>
          <xdr:nvSpPr>
            <xdr:cNvPr id="32" name="Shape 32"/>
            <xdr:cNvSpPr txBox="1"/>
          </xdr:nvSpPr>
          <xdr:spPr>
            <a:xfrm rot="-5400000">
              <a:off x="1356888" y="3151950"/>
              <a:ext cx="2705700" cy="5541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SzPts val="1200"/>
                <a:buFont typeface="Arial"/>
                <a:buNone/>
              </a:pPr>
              <a:r>
                <a:rPr lang="en-US" sz="1200"/>
                <a:t>Evento: Evento: Final mantenimiento del último servidor </a:t>
              </a:r>
              <a:endParaRPr sz="1200"/>
            </a:p>
          </xdr:txBody>
        </xdr:sp>
        <xdr:sp>
          <xdr:nvSpPr>
            <xdr:cNvPr id="33" name="Shape 33"/>
            <xdr:cNvSpPr txBox="1"/>
          </xdr:nvSpPr>
          <xdr:spPr>
            <a:xfrm>
              <a:off x="2858450" y="266275"/>
              <a:ext cx="3102000" cy="7389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SzPts val="1200"/>
                <a:buFont typeface="Arial"/>
                <a:buNone/>
              </a:pPr>
              <a:r>
                <a:rPr lang="en-US" sz="1200"/>
                <a:t>Evento: Final mantenimiento del servidor x y el servidor x+1 no está libre (x no debe ser el último servidor)</a:t>
              </a:r>
              <a:endParaRPr sz="1200"/>
            </a:p>
          </xdr:txBody>
        </xdr:sp>
        <xdr:sp>
          <xdr:nvSpPr>
            <xdr:cNvPr id="34" name="Shape 34"/>
            <xdr:cNvSpPr txBox="1"/>
          </xdr:nvSpPr>
          <xdr:spPr>
            <a:xfrm rot="-5400000">
              <a:off x="4117850" y="3484300"/>
              <a:ext cx="3444000" cy="5541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SzPts val="1200"/>
                <a:buFont typeface="Arial"/>
                <a:buNone/>
              </a:pPr>
              <a:r>
                <a:rPr lang="en-US" sz="1200"/>
                <a:t>Evento: Llegada de mantenimiento y el servidor 1 no está Libre</a:t>
              </a:r>
              <a:endParaRPr sz="1200"/>
            </a:p>
          </xdr:txBody>
        </xdr:sp>
      </xdr:grpSp>
    </xdr:grpSp>
    <xdr:clientData fLocksWithSheet="0"/>
  </xdr:oneCellAnchor>
  <xdr:oneCellAnchor>
    <xdr:from>
      <xdr:col>10</xdr:col>
      <xdr:colOff>1000125</xdr:colOff>
      <xdr:row>24</xdr:row>
      <xdr:rowOff>-114300</xdr:rowOff>
    </xdr:from>
    <xdr:ext cx="7943850" cy="6257925"/>
    <xdr:grpSp>
      <xdr:nvGrpSpPr>
        <xdr:cNvPr id="2" name="Shape 2" title="Dibujo"/>
        <xdr:cNvGrpSpPr/>
      </xdr:nvGrpSpPr>
      <xdr:grpSpPr>
        <a:xfrm>
          <a:off x="1374075" y="651038"/>
          <a:ext cx="7943850" cy="6257925"/>
          <a:chOff x="1374075" y="651038"/>
          <a:chExt cx="7943850" cy="6257925"/>
        </a:xfrm>
      </xdr:grpSpPr>
      <xdr:grpSp>
        <xdr:nvGrpSpPr>
          <xdr:cNvPr id="35" name="Shape 35" title="Dibujo"/>
          <xdr:cNvGrpSpPr/>
        </xdr:nvGrpSpPr>
        <xdr:grpSpPr>
          <a:xfrm>
            <a:off x="1374075" y="651038"/>
            <a:ext cx="7943850" cy="6257925"/>
            <a:chOff x="-507875" y="174200"/>
            <a:chExt cx="9652825" cy="6235300"/>
          </a:xfrm>
        </xdr:grpSpPr>
        <xdr:sp>
          <xdr:nvSpPr>
            <xdr:cNvPr id="4" name="Shape 4"/>
            <xdr:cNvSpPr/>
          </xdr:nvSpPr>
          <xdr:spPr>
            <a:xfrm>
              <a:off x="-507875" y="174200"/>
              <a:ext cx="9652825" cy="623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36" name="Shape 36"/>
            <xdr:cNvSpPr/>
          </xdr:nvSpPr>
          <xdr:spPr>
            <a:xfrm>
              <a:off x="904675" y="1045350"/>
              <a:ext cx="1676700" cy="6225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rPr lang="en-US" sz="1400"/>
                <a:t>Esperando</a:t>
              </a:r>
              <a:endParaRPr sz="1400"/>
            </a:p>
          </xdr:txBody>
        </xdr:sp>
        <xdr:sp>
          <xdr:nvSpPr>
            <xdr:cNvPr id="37" name="Shape 37"/>
            <xdr:cNvSpPr/>
          </xdr:nvSpPr>
          <xdr:spPr>
            <a:xfrm>
              <a:off x="6238225" y="1045350"/>
              <a:ext cx="1676700" cy="6225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rPr lang="en-US" sz="1400"/>
                <a:t>Inscribiéndose</a:t>
              </a:r>
              <a:endParaRPr sz="1400"/>
            </a:p>
          </xdr:txBody>
        </xdr:sp>
        <xdr:sp>
          <xdr:nvSpPr>
            <xdr:cNvPr id="38" name="Shape 38"/>
            <xdr:cNvSpPr/>
          </xdr:nvSpPr>
          <xdr:spPr>
            <a:xfrm>
              <a:off x="2699300" y="1316450"/>
              <a:ext cx="3414900" cy="120600"/>
            </a:xfrm>
            <a:prstGeom prst="rightArrow">
              <a:avLst>
                <a:gd fmla="val 50000" name="adj1"/>
                <a:gd fmla="val 50000" name="adj2"/>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sp>
          <xdr:nvSpPr>
            <xdr:cNvPr id="39" name="Shape 39"/>
            <xdr:cNvSpPr txBox="1"/>
          </xdr:nvSpPr>
          <xdr:spPr>
            <a:xfrm>
              <a:off x="3018300" y="882950"/>
              <a:ext cx="3102000" cy="5541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SzPts val="1200"/>
                <a:buFont typeface="Arial"/>
                <a:buNone/>
              </a:pPr>
              <a:r>
                <a:rPr lang="en-US" sz="1200"/>
                <a:t>Evento: Final mantenimiento y el alumno es el primero en la cola</a:t>
              </a:r>
              <a:endParaRPr sz="1200"/>
            </a:p>
          </xdr:txBody>
        </xdr:sp>
        <xdr:sp>
          <xdr:nvSpPr>
            <xdr:cNvPr id="40" name="Shape 40"/>
            <xdr:cNvSpPr/>
          </xdr:nvSpPr>
          <xdr:spPr>
            <a:xfrm>
              <a:off x="6529375" y="3876900"/>
              <a:ext cx="1094400" cy="1024200"/>
            </a:xfrm>
            <a:prstGeom prst="ellipse">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sp>
          <xdr:nvSpPr>
            <xdr:cNvPr id="41" name="Shape 41"/>
            <xdr:cNvSpPr/>
          </xdr:nvSpPr>
          <xdr:spPr>
            <a:xfrm>
              <a:off x="1195825" y="3876900"/>
              <a:ext cx="1094400" cy="1024200"/>
            </a:xfrm>
            <a:prstGeom prst="ellipse">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sp>
          <xdr:nvSpPr>
            <xdr:cNvPr id="42" name="Shape 42"/>
            <xdr:cNvSpPr/>
          </xdr:nvSpPr>
          <xdr:spPr>
            <a:xfrm>
              <a:off x="6669925" y="4019550"/>
              <a:ext cx="813300" cy="738900"/>
            </a:xfrm>
            <a:prstGeom prst="ellipse">
              <a:avLst/>
            </a:prstGeom>
            <a:solidFill>
              <a:srgbClr val="00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sp>
          <xdr:nvSpPr>
            <xdr:cNvPr id="43" name="Shape 43"/>
            <xdr:cNvSpPr/>
          </xdr:nvSpPr>
          <xdr:spPr>
            <a:xfrm>
              <a:off x="1647700" y="1718025"/>
              <a:ext cx="185700" cy="2028300"/>
            </a:xfrm>
            <a:prstGeom prst="upArrow">
              <a:avLst>
                <a:gd fmla="val 50000" name="adj1"/>
                <a:gd fmla="val 50000" name="adj2"/>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sp>
          <xdr:nvSpPr>
            <xdr:cNvPr id="44" name="Shape 44"/>
            <xdr:cNvSpPr/>
          </xdr:nvSpPr>
          <xdr:spPr>
            <a:xfrm rot="10800000">
              <a:off x="6983725" y="1758225"/>
              <a:ext cx="185700" cy="2028300"/>
            </a:xfrm>
            <a:prstGeom prst="upArrow">
              <a:avLst>
                <a:gd fmla="val 50000" name="adj1"/>
                <a:gd fmla="val 50000" name="adj2"/>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sp>
          <xdr:nvSpPr>
            <xdr:cNvPr id="45" name="Shape 45"/>
            <xdr:cNvSpPr txBox="1"/>
          </xdr:nvSpPr>
          <xdr:spPr>
            <a:xfrm>
              <a:off x="879475" y="4901100"/>
              <a:ext cx="1727100" cy="4002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SzPts val="1400"/>
                <a:buFont typeface="Arial"/>
                <a:buNone/>
              </a:pPr>
              <a:r>
                <a:rPr lang="en-US" sz="1400"/>
                <a:t>Creación de Objeto</a:t>
              </a:r>
              <a:endParaRPr sz="1400"/>
            </a:p>
          </xdr:txBody>
        </xdr:sp>
        <xdr:sp>
          <xdr:nvSpPr>
            <xdr:cNvPr id="46" name="Shape 46"/>
            <xdr:cNvSpPr txBox="1"/>
          </xdr:nvSpPr>
          <xdr:spPr>
            <a:xfrm>
              <a:off x="6116900" y="4991475"/>
              <a:ext cx="1991400" cy="4002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SzPts val="1400"/>
                <a:buFont typeface="Arial"/>
                <a:buNone/>
              </a:pPr>
              <a:r>
                <a:rPr lang="en-US" sz="1400"/>
                <a:t>Destrucción de Objeto</a:t>
              </a:r>
              <a:endParaRPr sz="1400"/>
            </a:p>
          </xdr:txBody>
        </xdr:sp>
        <xdr:sp>
          <xdr:nvSpPr>
            <xdr:cNvPr id="47" name="Shape 47"/>
            <xdr:cNvSpPr txBox="1"/>
          </xdr:nvSpPr>
          <xdr:spPr>
            <a:xfrm rot="-5400000">
              <a:off x="-507875" y="2563825"/>
              <a:ext cx="2600700" cy="9234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SzPts val="1200"/>
                <a:buFont typeface="Arial"/>
                <a:buNone/>
              </a:pPr>
              <a:r>
                <a:rPr lang="en-US" sz="1200"/>
                <a:t>Evento: Llegada de Alumno, no hay servidores Libres y la cola es de menos de 6 alumnos (va al ultimo de la fila)</a:t>
              </a:r>
              <a:endParaRPr sz="1200"/>
            </a:p>
          </xdr:txBody>
        </xdr:sp>
        <xdr:sp>
          <xdr:nvSpPr>
            <xdr:cNvPr id="48" name="Shape 48"/>
            <xdr:cNvSpPr/>
          </xdr:nvSpPr>
          <xdr:spPr>
            <a:xfrm rot="3363208">
              <a:off x="4387146" y="729975"/>
              <a:ext cx="185882" cy="4846721"/>
            </a:xfrm>
            <a:prstGeom prst="upArrow">
              <a:avLst>
                <a:gd fmla="val 50000" name="adj1"/>
                <a:gd fmla="val 50000" name="adj2"/>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sp>
          <xdr:nvSpPr>
            <xdr:cNvPr id="49" name="Shape 49"/>
            <xdr:cNvSpPr txBox="1"/>
          </xdr:nvSpPr>
          <xdr:spPr>
            <a:xfrm>
              <a:off x="3018300" y="266450"/>
              <a:ext cx="3102000" cy="7389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SzPts val="1200"/>
                <a:buFont typeface="Arial"/>
                <a:buNone/>
              </a:pPr>
              <a:r>
                <a:rPr lang="en-US" sz="1200"/>
                <a:t>Evento: Final inscripción, el alumno es el primero en la cola y el tecnico no esta esperando ese servidor</a:t>
              </a:r>
              <a:endParaRPr sz="1200"/>
            </a:p>
          </xdr:txBody>
        </xdr:sp>
        <xdr:sp>
          <xdr:nvSpPr>
            <xdr:cNvPr id="50" name="Shape 50"/>
            <xdr:cNvSpPr txBox="1"/>
          </xdr:nvSpPr>
          <xdr:spPr>
            <a:xfrm rot="-2068040">
              <a:off x="2795194" y="2644628"/>
              <a:ext cx="2772397" cy="554112"/>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SzPts val="1200"/>
                <a:buFont typeface="Arial"/>
                <a:buNone/>
              </a:pPr>
              <a:r>
                <a:rPr lang="en-US" sz="1200"/>
                <a:t>Evento: Llegada de Alumno, hay servidores Libres.</a:t>
              </a:r>
              <a:endParaRPr sz="1200"/>
            </a:p>
          </xdr:txBody>
        </xdr:sp>
        <xdr:sp>
          <xdr:nvSpPr>
            <xdr:cNvPr id="51" name="Shape 51"/>
            <xdr:cNvSpPr txBox="1"/>
          </xdr:nvSpPr>
          <xdr:spPr>
            <a:xfrm rot="-5400000">
              <a:off x="6817250" y="2653825"/>
              <a:ext cx="2327700" cy="5541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SzPts val="1200"/>
                <a:buFont typeface="Arial"/>
                <a:buNone/>
              </a:pPr>
              <a:r>
                <a:rPr lang="en-US" sz="1200"/>
                <a:t>Evento: Final inscripción en el  servidor donde está el alumno</a:t>
              </a:r>
              <a:endParaRPr sz="1200"/>
            </a:p>
          </xdr:txBody>
        </xdr:sp>
        <xdr:sp>
          <xdr:nvSpPr>
            <xdr:cNvPr id="52" name="Shape 52"/>
            <xdr:cNvSpPr txBox="1"/>
          </xdr:nvSpPr>
          <xdr:spPr>
            <a:xfrm>
              <a:off x="533150" y="5482625"/>
              <a:ext cx="5783700" cy="4002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SzPts val="1400"/>
                <a:buFont typeface="Arial"/>
                <a:buNone/>
              </a:pPr>
              <a:r>
                <a:t/>
              </a:r>
              <a:endParaRPr sz="1400"/>
            </a:p>
          </xdr:txBody>
        </xdr:sp>
        <xdr:sp>
          <xdr:nvSpPr>
            <xdr:cNvPr id="53" name="Shape 53"/>
            <xdr:cNvSpPr txBox="1"/>
          </xdr:nvSpPr>
          <xdr:spPr>
            <a:xfrm>
              <a:off x="533150" y="5301300"/>
              <a:ext cx="2600700" cy="11082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SzPts val="1200"/>
                <a:buFont typeface="Arial"/>
                <a:buNone/>
              </a:pPr>
              <a:r>
                <a:rPr lang="en-US" sz="1200"/>
                <a:t>Evento: Llegada de Alumno, no hay servidores Libres y la cola es de 6 alumnos, el objeto no se crea, pero genera un tiempo adicional de llegada en 30 minutos.</a:t>
              </a:r>
              <a:endParaRPr sz="1200"/>
            </a:p>
          </xdr:txBody>
        </xdr:sp>
        <xdr:sp>
          <xdr:nvSpPr>
            <xdr:cNvPr id="54" name="Shape 54"/>
            <xdr:cNvSpPr txBox="1"/>
          </xdr:nvSpPr>
          <xdr:spPr>
            <a:xfrm>
              <a:off x="412675" y="174200"/>
              <a:ext cx="2329500" cy="9234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SzPts val="1200"/>
                <a:buFont typeface="Arial"/>
                <a:buNone/>
              </a:pPr>
              <a:r>
                <a:rPr lang="en-US" sz="1200"/>
                <a:t>En caso de que se cumplan todas las condiciones excepto la de ser primero, se adelanta 1 posición en la fila</a:t>
              </a:r>
              <a:endParaRPr sz="1200"/>
            </a:p>
          </xdr:txBody>
        </xdr:sp>
      </xdr:grpSp>
    </xdr:grpSp>
    <xdr:clientData fLocksWithSheet="0"/>
  </xdr:oneCellAnchor>
  <xdr:oneCellAnchor>
    <xdr:from>
      <xdr:col>10</xdr:col>
      <xdr:colOff>66675</xdr:colOff>
      <xdr:row>4</xdr:row>
      <xdr:rowOff>76200</xdr:rowOff>
    </xdr:from>
    <xdr:ext cx="990600" cy="409575"/>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285750</xdr:colOff>
      <xdr:row>3</xdr:row>
      <xdr:rowOff>200025</xdr:rowOff>
    </xdr:from>
    <xdr:ext cx="2466975" cy="561975"/>
    <xdr:pic>
      <xdr:nvPicPr>
        <xdr:cNvPr id="0" name="image1.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1590675</xdr:colOff>
      <xdr:row>4</xdr:row>
      <xdr:rowOff>28575</xdr:rowOff>
    </xdr:from>
    <xdr:ext cx="1828800" cy="4191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3" width="12.63"/>
    <col customWidth="1" min="4" max="4" width="16.0"/>
    <col customWidth="1" min="5" max="5" width="12.63"/>
    <col customWidth="1" min="6" max="7" width="13.88"/>
    <col customWidth="1" min="9" max="9" width="44.88"/>
    <col customWidth="1" min="11" max="11" width="16.13"/>
    <col customWidth="1" min="12" max="12" width="19.63"/>
  </cols>
  <sheetData>
    <row r="1" ht="15.75" customHeight="1"/>
    <row r="2" ht="15.75" customHeight="1">
      <c r="B2" s="1" t="s">
        <v>0</v>
      </c>
      <c r="P2" s="2" t="s">
        <v>1</v>
      </c>
    </row>
    <row r="3" ht="15.75" customHeight="1"/>
    <row r="4" ht="15.75" customHeight="1">
      <c r="K4" s="3" t="s">
        <v>2</v>
      </c>
      <c r="L4" s="4" t="s">
        <v>3</v>
      </c>
    </row>
    <row r="5" ht="15.75" customHeight="1"/>
    <row r="6" ht="15.75" customHeight="1"/>
    <row r="7" ht="15.75" customHeight="1"/>
    <row r="8" ht="15.75" customHeight="1"/>
    <row r="9" ht="15.75" customHeight="1">
      <c r="L9" s="5" t="s">
        <v>4</v>
      </c>
    </row>
    <row r="10" ht="15.75" customHeight="1"/>
    <row r="11" ht="15.75" customHeight="1"/>
    <row r="12" ht="15.75" customHeight="1"/>
    <row r="13" ht="15.75" customHeight="1"/>
    <row r="14" ht="15.75" customHeight="1"/>
    <row r="15" ht="15.75" customHeight="1">
      <c r="B15" s="6" t="s">
        <v>5</v>
      </c>
      <c r="C15" s="7"/>
      <c r="D15" s="8" t="s">
        <v>6</v>
      </c>
      <c r="F15" s="9" t="s">
        <v>7</v>
      </c>
      <c r="G15" s="10" t="s">
        <v>8</v>
      </c>
      <c r="H15" s="11" t="s">
        <v>9</v>
      </c>
      <c r="K15" s="6" t="s">
        <v>10</v>
      </c>
      <c r="L15" s="7"/>
    </row>
    <row r="16" ht="15.75" customHeight="1">
      <c r="B16" s="6" t="s">
        <v>11</v>
      </c>
      <c r="C16" s="7"/>
      <c r="D16" s="8" t="s">
        <v>12</v>
      </c>
      <c r="F16" s="12" t="s">
        <v>13</v>
      </c>
      <c r="G16" s="13" t="s">
        <v>14</v>
      </c>
      <c r="H16" s="14" t="s">
        <v>15</v>
      </c>
      <c r="K16" s="15" t="s">
        <v>16</v>
      </c>
      <c r="L16" s="15" t="s">
        <v>17</v>
      </c>
    </row>
    <row r="17" ht="15.75" customHeight="1">
      <c r="B17" s="6" t="s">
        <v>16</v>
      </c>
      <c r="C17" s="7"/>
      <c r="D17" s="8" t="s">
        <v>18</v>
      </c>
      <c r="F17" s="12" t="s">
        <v>19</v>
      </c>
      <c r="G17" s="13" t="s">
        <v>20</v>
      </c>
      <c r="H17" s="14" t="s">
        <v>21</v>
      </c>
      <c r="K17" s="15" t="s">
        <v>22</v>
      </c>
      <c r="L17" s="15" t="s">
        <v>23</v>
      </c>
    </row>
    <row r="18" ht="15.75" customHeight="1">
      <c r="B18" s="6" t="s">
        <v>24</v>
      </c>
      <c r="C18" s="7"/>
      <c r="D18" s="16" t="s">
        <v>25</v>
      </c>
      <c r="F18" s="12" t="s">
        <v>26</v>
      </c>
      <c r="G18" s="17"/>
      <c r="H18" s="14" t="s">
        <v>27</v>
      </c>
      <c r="K18" s="15" t="s">
        <v>28</v>
      </c>
      <c r="L18" s="15" t="s">
        <v>29</v>
      </c>
    </row>
    <row r="19" ht="15.75" customHeight="1">
      <c r="B19" s="6" t="s">
        <v>17</v>
      </c>
      <c r="C19" s="7"/>
      <c r="D19" s="8" t="s">
        <v>30</v>
      </c>
      <c r="K19" s="15" t="s">
        <v>31</v>
      </c>
      <c r="L19" s="15" t="s">
        <v>32</v>
      </c>
    </row>
    <row r="20" ht="15.75" customHeight="1">
      <c r="K20" s="15" t="s">
        <v>33</v>
      </c>
      <c r="L20" s="15" t="s">
        <v>34</v>
      </c>
    </row>
    <row r="21" ht="15.75" customHeight="1">
      <c r="K21" s="15" t="s">
        <v>35</v>
      </c>
      <c r="L21" s="15" t="s">
        <v>36</v>
      </c>
    </row>
    <row r="22" ht="15.75" customHeight="1">
      <c r="F22" s="18" t="s">
        <v>37</v>
      </c>
      <c r="N22" s="18" t="s">
        <v>38</v>
      </c>
      <c r="V22" s="18" t="s">
        <v>39</v>
      </c>
    </row>
    <row r="23" ht="15.75" customHeight="1"/>
    <row r="24" ht="15.75" customHeight="1"/>
    <row r="25" ht="15.75" customHeight="1"/>
    <row r="26" ht="15.75" customHeight="1">
      <c r="F26" s="18"/>
      <c r="J26" s="18"/>
    </row>
    <row r="27" ht="15.75" customHeight="1"/>
    <row r="28" ht="15.75" customHeight="1"/>
    <row r="29" ht="15.75" customHeight="1"/>
    <row r="30" ht="15.75" customHeight="1"/>
    <row r="31" ht="15.75" customHeight="1"/>
    <row r="32" ht="15.75" customHeight="1"/>
    <row r="33" ht="15.75" customHeight="1"/>
    <row r="34" ht="15.75" customHeight="1"/>
    <row r="35" ht="15.75" customHeight="1">
      <c r="H35" s="18"/>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B15:C15"/>
    <mergeCell ref="B16:C16"/>
    <mergeCell ref="B17:C17"/>
    <mergeCell ref="B18:C18"/>
    <mergeCell ref="B19:C19"/>
    <mergeCell ref="F22:G22"/>
    <mergeCell ref="N22:O22"/>
    <mergeCell ref="B2:I13"/>
    <mergeCell ref="P2:X6"/>
    <mergeCell ref="L4:N4"/>
    <mergeCell ref="K5:K7"/>
    <mergeCell ref="L5:N7"/>
    <mergeCell ref="L9:N11"/>
    <mergeCell ref="K15:L15"/>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8.38"/>
    <col customWidth="1" min="2" max="2" width="21.0"/>
    <col customWidth="1" min="3" max="3" width="16.38"/>
    <col customWidth="1" min="4" max="7" width="7.63"/>
    <col customWidth="1" min="8" max="8" width="13.5"/>
    <col customWidth="1" min="9" max="9" width="18.38"/>
    <col customWidth="1" min="10" max="10" width="1.88"/>
    <col customWidth="1" min="11" max="12" width="8.38"/>
    <col customWidth="1" min="13" max="14" width="16.5"/>
    <col customWidth="1" min="15" max="15" width="2.0"/>
    <col customWidth="1" min="16" max="16" width="13.0"/>
    <col customWidth="1" min="17" max="19" width="7.63"/>
    <col customWidth="1" min="20" max="20" width="13.63"/>
    <col customWidth="1" min="21" max="22" width="13.38"/>
    <col customWidth="1" min="23" max="23" width="11.75"/>
    <col customWidth="1" min="24" max="24" width="1.38"/>
    <col customWidth="1" min="25" max="25" width="13.0"/>
    <col customWidth="1" min="26" max="28" width="7.63"/>
    <col customWidth="1" min="29" max="30" width="14.88"/>
    <col customWidth="1" min="31" max="31" width="13.75"/>
    <col customWidth="1" min="32" max="32" width="12.88"/>
    <col customWidth="1" min="33" max="33" width="1.13"/>
    <col customWidth="1" min="34" max="34" width="11.88"/>
    <col customWidth="1" min="35" max="37" width="7.63"/>
    <col customWidth="1" min="38" max="39" width="14.0"/>
    <col customWidth="1" min="40" max="40" width="14.5"/>
    <col customWidth="1" min="41" max="41" width="13.0"/>
    <col customWidth="1" min="42" max="42" width="1.38"/>
    <col customWidth="1" min="43" max="43" width="11.13"/>
    <col customWidth="1" min="44" max="46" width="7.63"/>
    <col customWidth="1" min="47" max="47" width="13.63"/>
    <col customWidth="1" min="48" max="49" width="12.88"/>
    <col customWidth="1" min="50" max="50" width="13.13"/>
    <col customWidth="1" min="51" max="51" width="1.25"/>
    <col customWidth="1" min="52" max="52" width="11.0"/>
    <col customWidth="1" min="53" max="55" width="7.63"/>
    <col customWidth="1" min="56" max="58" width="14.0"/>
    <col customWidth="1" min="59" max="59" width="14.13"/>
    <col customWidth="1" min="60" max="60" width="2.38"/>
    <col customWidth="1" min="61" max="61" width="11.0"/>
    <col customWidth="1" min="62" max="62" width="12.0"/>
    <col customWidth="1" min="63" max="63" width="8.5"/>
    <col customWidth="1" min="64" max="64" width="4.88"/>
    <col customWidth="1" min="65" max="66" width="11.38"/>
    <col customWidth="1" min="67" max="67" width="10.63"/>
    <col customWidth="1" min="68" max="68" width="10.38"/>
    <col customWidth="1" min="69" max="69" width="3.0"/>
    <col customWidth="1" min="70" max="70" width="10.63"/>
    <col customWidth="1" min="71" max="71" width="14.63"/>
    <col customWidth="1" min="72" max="72" width="17.88"/>
    <col customWidth="1" min="73" max="96" width="4.88"/>
    <col customWidth="1" min="97" max="97" width="4.5"/>
    <col customWidth="1" min="98" max="98" width="4.63"/>
    <col customWidth="1" min="99" max="99" width="4.5"/>
    <col customWidth="1" min="100" max="100" width="5.63"/>
    <col customWidth="1" min="101" max="101" width="5.13"/>
    <col customWidth="1" min="102" max="102" width="5.63"/>
    <col customWidth="1" min="103" max="191" width="5.0"/>
  </cols>
  <sheetData>
    <row r="1" ht="15.75" customHeight="1"/>
    <row r="2" ht="15.75" customHeight="1">
      <c r="A2" s="15" t="s">
        <v>16</v>
      </c>
      <c r="B2" s="15" t="s">
        <v>40</v>
      </c>
      <c r="C2" s="15" t="s">
        <v>41</v>
      </c>
      <c r="D2" s="15">
        <v>5.0</v>
      </c>
      <c r="H2" s="6" t="s">
        <v>10</v>
      </c>
      <c r="I2" s="7"/>
      <c r="Q2" s="19" t="s">
        <v>9</v>
      </c>
      <c r="R2" s="7"/>
      <c r="T2" s="19" t="s">
        <v>42</v>
      </c>
      <c r="U2" s="20"/>
      <c r="V2" s="7"/>
      <c r="X2" s="21"/>
      <c r="Y2" s="21"/>
      <c r="Z2" s="21"/>
      <c r="AA2" s="21"/>
      <c r="AB2" s="21"/>
      <c r="AC2" s="21"/>
      <c r="AD2" s="21"/>
      <c r="AE2" s="21"/>
      <c r="AF2" s="21"/>
      <c r="AG2" s="21"/>
      <c r="AH2" s="21"/>
      <c r="AI2" s="21"/>
      <c r="AJ2" s="21"/>
      <c r="AK2" s="21"/>
      <c r="AL2" s="21"/>
      <c r="AM2" s="21"/>
      <c r="AN2" s="21"/>
      <c r="AO2" s="21"/>
    </row>
    <row r="3" ht="15.75" customHeight="1">
      <c r="A3" s="15" t="s">
        <v>17</v>
      </c>
      <c r="B3" s="15" t="s">
        <v>43</v>
      </c>
      <c r="C3" s="15">
        <v>57.0</v>
      </c>
      <c r="D3" s="15">
        <v>63.0</v>
      </c>
      <c r="H3" s="15" t="s">
        <v>16</v>
      </c>
      <c r="I3" s="15" t="s">
        <v>17</v>
      </c>
      <c r="Q3" s="15" t="s">
        <v>44</v>
      </c>
      <c r="R3" s="15" t="s">
        <v>15</v>
      </c>
      <c r="T3" s="15" t="s">
        <v>45</v>
      </c>
      <c r="U3" s="15"/>
      <c r="V3" s="15" t="s">
        <v>26</v>
      </c>
      <c r="X3" s="21"/>
      <c r="Y3" s="21"/>
      <c r="Z3" s="21"/>
      <c r="AA3" s="21"/>
      <c r="AB3" s="21"/>
      <c r="AC3" s="21"/>
      <c r="AD3" s="21"/>
      <c r="AE3" s="21"/>
      <c r="AF3" s="21"/>
      <c r="AG3" s="21"/>
      <c r="AH3" s="21"/>
      <c r="AI3" s="21"/>
      <c r="AJ3" s="21"/>
      <c r="AK3" s="21"/>
      <c r="AL3" s="21"/>
      <c r="AM3" s="21"/>
      <c r="AN3" s="21"/>
      <c r="AO3" s="21"/>
    </row>
    <row r="4" ht="15.75" customHeight="1">
      <c r="A4" s="15" t="s">
        <v>46</v>
      </c>
      <c r="B4" s="15" t="s">
        <v>43</v>
      </c>
      <c r="C4" s="15">
        <v>5.0</v>
      </c>
      <c r="D4" s="15">
        <v>8.0</v>
      </c>
      <c r="H4" s="15" t="s">
        <v>22</v>
      </c>
      <c r="I4" s="15" t="s">
        <v>23</v>
      </c>
      <c r="Q4" s="15" t="s">
        <v>47</v>
      </c>
      <c r="R4" s="15" t="s">
        <v>21</v>
      </c>
      <c r="T4" s="15" t="s">
        <v>48</v>
      </c>
      <c r="U4" s="15"/>
      <c r="V4" s="15" t="s">
        <v>13</v>
      </c>
      <c r="X4" s="21"/>
      <c r="Y4" s="21"/>
      <c r="Z4" s="21"/>
      <c r="AA4" s="21"/>
      <c r="AB4" s="21"/>
      <c r="AC4" s="21"/>
      <c r="AD4" s="21"/>
      <c r="AE4" s="21"/>
      <c r="AF4" s="21"/>
      <c r="AG4" s="21"/>
      <c r="AH4" s="21"/>
      <c r="AI4" s="21"/>
      <c r="AJ4" s="21"/>
      <c r="AK4" s="21"/>
      <c r="AL4" s="21"/>
      <c r="AM4" s="21"/>
      <c r="AN4" s="21"/>
      <c r="AO4" s="21"/>
    </row>
    <row r="5" ht="36.75" customHeight="1">
      <c r="A5" s="22" t="s">
        <v>49</v>
      </c>
      <c r="B5" s="23" t="s">
        <v>50</v>
      </c>
      <c r="C5" s="24"/>
      <c r="D5" s="7"/>
      <c r="H5" s="15" t="s">
        <v>28</v>
      </c>
      <c r="I5" s="15" t="s">
        <v>29</v>
      </c>
      <c r="Q5" s="15" t="s">
        <v>51</v>
      </c>
      <c r="R5" s="15" t="s">
        <v>27</v>
      </c>
      <c r="T5" s="15" t="s">
        <v>52</v>
      </c>
      <c r="U5" s="15"/>
      <c r="V5" s="15" t="s">
        <v>19</v>
      </c>
      <c r="X5" s="21"/>
      <c r="Y5" s="21"/>
      <c r="Z5" s="21"/>
      <c r="AA5" s="21"/>
      <c r="AB5" s="21"/>
      <c r="AC5" s="21"/>
      <c r="AD5" s="21"/>
      <c r="AE5" s="21"/>
      <c r="AF5" s="21"/>
      <c r="AG5" s="21"/>
      <c r="AH5" s="21"/>
      <c r="AI5" s="21"/>
      <c r="AJ5" s="21"/>
      <c r="AK5" s="21"/>
      <c r="AL5" s="21"/>
      <c r="AM5" s="21"/>
      <c r="AN5" s="21"/>
      <c r="AO5" s="21"/>
    </row>
    <row r="6" ht="15.75" customHeight="1">
      <c r="A6" s="25"/>
      <c r="B6" s="25"/>
      <c r="C6" s="26" t="s">
        <v>53</v>
      </c>
      <c r="D6" s="26">
        <f>_h</f>
        <v>0.1</v>
      </c>
      <c r="H6" s="15" t="s">
        <v>31</v>
      </c>
      <c r="I6" s="15" t="s">
        <v>32</v>
      </c>
      <c r="X6" s="21"/>
      <c r="Y6" s="21"/>
      <c r="Z6" s="21"/>
      <c r="AA6" s="21"/>
      <c r="AB6" s="21"/>
      <c r="AC6" s="21"/>
      <c r="AD6" s="21"/>
      <c r="AE6" s="21"/>
      <c r="AF6" s="21"/>
      <c r="AG6" s="21"/>
      <c r="AH6" s="21"/>
      <c r="AI6" s="21"/>
      <c r="AJ6" s="21"/>
      <c r="AK6" s="21"/>
      <c r="AL6" s="21"/>
      <c r="AM6" s="21"/>
      <c r="AN6" s="21"/>
      <c r="AO6" s="21"/>
    </row>
    <row r="7" ht="15.75" customHeight="1">
      <c r="H7" s="15" t="s">
        <v>33</v>
      </c>
      <c r="I7" s="15" t="s">
        <v>34</v>
      </c>
      <c r="Q7" s="18"/>
      <c r="X7" s="21"/>
      <c r="Y7" s="21"/>
      <c r="Z7" s="21"/>
      <c r="AA7" s="21"/>
      <c r="AB7" s="21"/>
      <c r="AC7" s="21"/>
      <c r="AD7" s="21"/>
      <c r="AE7" s="21"/>
      <c r="AF7" s="21"/>
      <c r="AG7" s="21"/>
      <c r="AH7" s="21"/>
      <c r="AI7" s="21"/>
      <c r="AJ7" s="21"/>
      <c r="AK7" s="21"/>
      <c r="AL7" s="21"/>
      <c r="AM7" s="21"/>
      <c r="AN7" s="21"/>
      <c r="AO7" s="21"/>
    </row>
    <row r="8" ht="15.75" customHeight="1">
      <c r="B8" s="27" t="s">
        <v>54</v>
      </c>
      <c r="C8" s="28">
        <f>RAND()</f>
        <v>0.4686303935</v>
      </c>
      <c r="H8" s="15" t="s">
        <v>35</v>
      </c>
      <c r="I8" s="15" t="s">
        <v>36</v>
      </c>
    </row>
    <row r="9" ht="15.75" customHeight="1">
      <c r="FQ9" s="29"/>
      <c r="FR9" s="29"/>
      <c r="FS9" s="29"/>
      <c r="FT9" s="29"/>
      <c r="FU9" s="29"/>
      <c r="FV9" s="29"/>
      <c r="FW9" s="29"/>
      <c r="FX9" s="29"/>
      <c r="FY9" s="29"/>
      <c r="FZ9" s="29"/>
      <c r="GA9" s="29"/>
      <c r="GB9" s="29"/>
      <c r="GC9" s="29"/>
      <c r="GD9" s="29"/>
      <c r="GE9" s="29"/>
      <c r="GF9" s="29"/>
      <c r="GG9" s="29"/>
      <c r="GH9" s="29"/>
      <c r="GI9" s="29"/>
    </row>
    <row r="10" ht="15.75" customHeight="1">
      <c r="FQ10" s="29"/>
      <c r="FR10" s="29"/>
      <c r="FS10" s="29"/>
      <c r="FT10" s="29"/>
      <c r="FU10" s="29"/>
      <c r="FV10" s="29"/>
      <c r="FW10" s="29"/>
      <c r="FX10" s="29"/>
      <c r="FY10" s="29"/>
      <c r="FZ10" s="29"/>
      <c r="GA10" s="29"/>
      <c r="GB10" s="29"/>
      <c r="GC10" s="29"/>
      <c r="GD10" s="29"/>
      <c r="GE10" s="29"/>
      <c r="GF10" s="29"/>
      <c r="GG10" s="29"/>
      <c r="GH10" s="29"/>
      <c r="GI10" s="29"/>
    </row>
    <row r="11" ht="48.0" customHeight="1">
      <c r="FQ11" s="29"/>
      <c r="FR11" s="29"/>
      <c r="FS11" s="29"/>
      <c r="FT11" s="29"/>
      <c r="FU11" s="29"/>
      <c r="FV11" s="29"/>
      <c r="FW11" s="29"/>
      <c r="FX11" s="29"/>
      <c r="FY11" s="29"/>
      <c r="FZ11" s="29"/>
      <c r="GA11" s="29"/>
      <c r="GB11" s="29"/>
      <c r="GC11" s="29"/>
      <c r="GD11" s="29"/>
      <c r="GE11" s="29"/>
      <c r="GF11" s="29"/>
      <c r="GG11" s="29"/>
      <c r="GH11" s="29"/>
      <c r="GI11" s="29"/>
    </row>
    <row r="12" ht="15.75" customHeight="1">
      <c r="K12" s="30" t="s">
        <v>55</v>
      </c>
      <c r="L12" s="20"/>
      <c r="M12" s="20"/>
      <c r="N12" s="20"/>
      <c r="O12" s="20"/>
      <c r="P12" s="7"/>
    </row>
    <row r="13" ht="28.5" customHeight="1">
      <c r="K13" s="31" t="s">
        <v>56</v>
      </c>
      <c r="L13" s="31" t="s">
        <v>57</v>
      </c>
      <c r="M13" s="31" t="s">
        <v>58</v>
      </c>
      <c r="N13" s="31" t="s">
        <v>59</v>
      </c>
      <c r="O13" s="32"/>
      <c r="P13" s="31" t="s">
        <v>60</v>
      </c>
    </row>
    <row r="14" ht="15.75" customHeight="1">
      <c r="K14" s="33">
        <v>1000.0</v>
      </c>
      <c r="L14" s="34">
        <f t="shared" ref="L14:L16" si="1">1/3</f>
        <v>0.3333333333</v>
      </c>
      <c r="M14" s="35">
        <f>L14</f>
        <v>0.3333333333</v>
      </c>
      <c r="N14" s="34">
        <v>0.0</v>
      </c>
      <c r="O14" s="36"/>
      <c r="P14" s="35">
        <f t="shared" ref="P14:P16" si="2">M14-0.001</f>
        <v>0.3323333333</v>
      </c>
    </row>
    <row r="15" ht="15.75" customHeight="1">
      <c r="K15" s="33">
        <v>1500.0</v>
      </c>
      <c r="L15" s="34">
        <f t="shared" si="1"/>
        <v>0.3333333333</v>
      </c>
      <c r="M15" s="35">
        <f t="shared" ref="M15:M16" si="3">L15+M14</f>
        <v>0.6666666667</v>
      </c>
      <c r="N15" s="35">
        <f t="shared" ref="N15:N16" si="4">M14</f>
        <v>0.3333333333</v>
      </c>
      <c r="O15" s="36"/>
      <c r="P15" s="35">
        <f t="shared" si="2"/>
        <v>0.6656666667</v>
      </c>
    </row>
    <row r="16" ht="15.75" customHeight="1">
      <c r="K16" s="33">
        <v>2000.0</v>
      </c>
      <c r="L16" s="34">
        <f t="shared" si="1"/>
        <v>0.3333333333</v>
      </c>
      <c r="M16" s="35">
        <f t="shared" si="3"/>
        <v>1</v>
      </c>
      <c r="N16" s="35">
        <f t="shared" si="4"/>
        <v>0.6666666667</v>
      </c>
      <c r="O16" s="36"/>
      <c r="P16" s="35">
        <f t="shared" si="2"/>
        <v>0.999</v>
      </c>
    </row>
    <row r="17" ht="15.75" customHeight="1"/>
    <row r="18" ht="15.75" customHeight="1"/>
    <row r="19" ht="15.75" customHeight="1"/>
    <row r="20" ht="15.75" customHeight="1">
      <c r="P20" s="37" t="s">
        <v>61</v>
      </c>
      <c r="Q20" s="38"/>
      <c r="R20" s="38"/>
      <c r="S20" s="38"/>
      <c r="T20" s="38"/>
      <c r="U20" s="38"/>
      <c r="V20" s="38"/>
      <c r="W20" s="39"/>
      <c r="X20" s="40"/>
      <c r="Y20" s="37" t="s">
        <v>62</v>
      </c>
      <c r="Z20" s="38"/>
      <c r="AA20" s="38"/>
      <c r="AB20" s="38"/>
      <c r="AC20" s="38"/>
      <c r="AD20" s="38"/>
      <c r="AE20" s="38"/>
      <c r="AF20" s="39"/>
      <c r="AG20" s="40"/>
      <c r="AH20" s="41" t="s">
        <v>63</v>
      </c>
      <c r="AI20" s="38"/>
      <c r="AJ20" s="38"/>
      <c r="AK20" s="38"/>
      <c r="AL20" s="38"/>
      <c r="AM20" s="38"/>
      <c r="AN20" s="38"/>
      <c r="AO20" s="39"/>
      <c r="AP20" s="42"/>
      <c r="AQ20" s="41" t="s">
        <v>64</v>
      </c>
      <c r="AR20" s="38"/>
      <c r="AS20" s="38"/>
      <c r="AT20" s="38"/>
      <c r="AU20" s="38"/>
      <c r="AV20" s="38"/>
      <c r="AW20" s="38"/>
      <c r="AX20" s="39"/>
      <c r="AY20" s="42"/>
      <c r="AZ20" s="41" t="s">
        <v>65</v>
      </c>
      <c r="BA20" s="38"/>
      <c r="BB20" s="38"/>
      <c r="BC20" s="38"/>
      <c r="BD20" s="38"/>
      <c r="BE20" s="38"/>
      <c r="BF20" s="38"/>
      <c r="BG20" s="39"/>
      <c r="BH20" s="43"/>
      <c r="BI20" s="44"/>
      <c r="BJ20" s="45"/>
      <c r="BM20" s="43"/>
      <c r="BN20" s="43"/>
      <c r="BO20" s="43"/>
      <c r="BP20" s="43"/>
      <c r="BQ20" s="43"/>
      <c r="BR20" s="46" t="s">
        <v>66</v>
      </c>
      <c r="BS20" s="47"/>
      <c r="BT20" s="48"/>
      <c r="BU20" s="29"/>
      <c r="BV20" s="49" t="s">
        <v>67</v>
      </c>
      <c r="BW20" s="38"/>
      <c r="BX20" s="38"/>
      <c r="BY20" s="38"/>
      <c r="BZ20" s="38"/>
      <c r="CA20" s="38"/>
      <c r="CB20" s="38"/>
      <c r="CC20" s="38"/>
      <c r="CD20" s="38"/>
      <c r="CE20" s="38"/>
      <c r="CF20" s="38"/>
      <c r="CG20" s="39"/>
      <c r="CH20" s="29"/>
      <c r="CI20" s="29"/>
      <c r="CJ20" s="29"/>
      <c r="CK20" s="29"/>
      <c r="CL20" s="29"/>
      <c r="CM20" s="29"/>
      <c r="CN20" s="29"/>
      <c r="CO20" s="29"/>
      <c r="CP20" s="29"/>
      <c r="CQ20" s="29"/>
      <c r="CR20" s="29"/>
      <c r="CS20" s="29"/>
      <c r="CT20" s="29"/>
      <c r="CU20" s="29"/>
      <c r="CV20" s="29"/>
      <c r="CW20" s="29"/>
      <c r="CX20" s="29"/>
      <c r="CY20" s="29"/>
      <c r="CZ20" s="29"/>
      <c r="DA20" s="29"/>
      <c r="DB20" s="29"/>
      <c r="DC20" s="29"/>
      <c r="DD20" s="29"/>
      <c r="DE20" s="29"/>
      <c r="DF20" s="29"/>
      <c r="DG20" s="29"/>
      <c r="DH20" s="29"/>
      <c r="DI20" s="29"/>
      <c r="DJ20" s="29"/>
      <c r="DK20" s="29"/>
      <c r="DL20" s="29"/>
      <c r="DM20" s="29"/>
      <c r="DN20" s="29"/>
      <c r="DO20" s="29"/>
      <c r="DP20" s="29"/>
      <c r="DQ20" s="29"/>
      <c r="DR20" s="29"/>
      <c r="DS20" s="29"/>
      <c r="DT20" s="29"/>
      <c r="DU20" s="29"/>
      <c r="DV20" s="29"/>
      <c r="DW20" s="29"/>
      <c r="DX20" s="29"/>
      <c r="DY20" s="29"/>
      <c r="DZ20" s="29"/>
      <c r="EA20" s="29"/>
      <c r="EB20" s="29"/>
      <c r="EC20" s="29"/>
      <c r="ED20" s="29"/>
      <c r="EE20" s="29"/>
      <c r="EF20" s="29"/>
      <c r="EG20" s="29"/>
      <c r="EH20" s="29"/>
      <c r="EI20" s="29"/>
      <c r="EJ20" s="29"/>
      <c r="EK20" s="29"/>
      <c r="EL20" s="29"/>
      <c r="EM20" s="29"/>
      <c r="EN20" s="29"/>
      <c r="EO20" s="29"/>
      <c r="EP20" s="29"/>
      <c r="EQ20" s="29"/>
      <c r="ER20" s="29"/>
      <c r="ES20" s="29"/>
      <c r="ET20" s="29"/>
      <c r="EU20" s="29"/>
      <c r="EV20" s="29"/>
      <c r="EW20" s="29"/>
      <c r="EX20" s="29"/>
      <c r="EY20" s="29"/>
      <c r="EZ20" s="29"/>
      <c r="FA20" s="29"/>
      <c r="FB20" s="29"/>
      <c r="FC20" s="29"/>
      <c r="FD20" s="29"/>
      <c r="FE20" s="29"/>
      <c r="FF20" s="29"/>
      <c r="FG20" s="29"/>
      <c r="FH20" s="29"/>
      <c r="FI20" s="29"/>
      <c r="FJ20" s="29"/>
      <c r="FK20" s="29"/>
      <c r="FL20" s="29"/>
      <c r="FM20" s="29"/>
      <c r="FN20" s="29"/>
      <c r="FO20" s="29"/>
      <c r="FP20" s="29"/>
    </row>
    <row r="21" ht="15.75" customHeight="1">
      <c r="B21" s="50"/>
      <c r="C21" s="51"/>
      <c r="D21" s="52" t="s">
        <v>16</v>
      </c>
      <c r="E21" s="38"/>
      <c r="F21" s="38"/>
      <c r="G21" s="53" t="s">
        <v>17</v>
      </c>
      <c r="H21" s="38"/>
      <c r="I21" s="39"/>
      <c r="L21" s="50"/>
      <c r="M21" s="54" t="s">
        <v>68</v>
      </c>
      <c r="N21" s="39"/>
      <c r="P21" s="55" t="s">
        <v>69</v>
      </c>
      <c r="Q21" s="56" t="s">
        <v>70</v>
      </c>
      <c r="T21" s="57" t="s">
        <v>71</v>
      </c>
      <c r="W21" s="58"/>
      <c r="Y21" s="55" t="s">
        <v>69</v>
      </c>
      <c r="Z21" s="56" t="s">
        <v>70</v>
      </c>
      <c r="AC21" s="57" t="s">
        <v>71</v>
      </c>
      <c r="AF21" s="58"/>
      <c r="AH21" s="55" t="s">
        <v>69</v>
      </c>
      <c r="AI21" s="59" t="s">
        <v>70</v>
      </c>
      <c r="AL21" s="60" t="s">
        <v>71</v>
      </c>
      <c r="AO21" s="58"/>
      <c r="AP21" s="43"/>
      <c r="AQ21" s="55" t="s">
        <v>69</v>
      </c>
      <c r="AR21" s="59" t="s">
        <v>70</v>
      </c>
      <c r="AU21" s="60" t="s">
        <v>71</v>
      </c>
      <c r="AX21" s="58"/>
      <c r="AY21" s="43"/>
      <c r="AZ21" s="55" t="s">
        <v>69</v>
      </c>
      <c r="BA21" s="59" t="s">
        <v>70</v>
      </c>
      <c r="BD21" s="60" t="s">
        <v>71</v>
      </c>
      <c r="BG21" s="58"/>
      <c r="BH21" s="43"/>
      <c r="BI21" s="61" t="s">
        <v>72</v>
      </c>
      <c r="BJ21" s="62" t="s">
        <v>73</v>
      </c>
      <c r="BK21" s="39"/>
      <c r="BM21" s="63" t="s">
        <v>74</v>
      </c>
      <c r="BN21" s="64" t="s">
        <v>74</v>
      </c>
      <c r="BO21" s="65" t="s">
        <v>74</v>
      </c>
      <c r="BP21" s="66" t="s">
        <v>75</v>
      </c>
      <c r="BQ21" s="67"/>
      <c r="BR21" s="68">
        <v>1.0</v>
      </c>
      <c r="BS21" s="69">
        <v>2.0</v>
      </c>
      <c r="BT21" s="70">
        <v>3.0</v>
      </c>
      <c r="BU21" s="71"/>
      <c r="BV21" s="72">
        <v>1.0</v>
      </c>
      <c r="BW21" s="73"/>
      <c r="BX21" s="74">
        <v>2.0</v>
      </c>
      <c r="BY21" s="73"/>
      <c r="BZ21" s="74">
        <v>3.0</v>
      </c>
      <c r="CA21" s="73"/>
      <c r="CB21" s="74">
        <v>4.0</v>
      </c>
      <c r="CC21" s="73"/>
      <c r="CD21" s="74">
        <v>5.0</v>
      </c>
      <c r="CE21" s="73"/>
      <c r="CF21" s="75">
        <v>6.0</v>
      </c>
      <c r="CG21" s="76"/>
      <c r="CH21" s="29"/>
      <c r="CJ21" s="29"/>
      <c r="CL21" s="29"/>
      <c r="CN21" s="29"/>
      <c r="CP21" s="29"/>
      <c r="CR21" s="29"/>
      <c r="CT21" s="29"/>
      <c r="CV21" s="29"/>
      <c r="CX21" s="29"/>
      <c r="CZ21" s="29"/>
      <c r="DB21" s="29"/>
      <c r="DD21" s="29"/>
      <c r="DF21" s="29"/>
      <c r="DH21" s="29"/>
      <c r="DJ21" s="29"/>
      <c r="DL21" s="29"/>
      <c r="DN21" s="29"/>
      <c r="DP21" s="29"/>
      <c r="DR21" s="29"/>
      <c r="DT21" s="29"/>
      <c r="DV21" s="29"/>
      <c r="DX21" s="29"/>
      <c r="DZ21" s="29"/>
      <c r="EB21" s="29"/>
      <c r="ED21" s="29"/>
      <c r="EF21" s="29"/>
      <c r="EH21" s="29"/>
      <c r="EJ21" s="29"/>
      <c r="EL21" s="29"/>
      <c r="EN21" s="29"/>
      <c r="EP21" s="29"/>
      <c r="ER21" s="29"/>
      <c r="ET21" s="29"/>
      <c r="EV21" s="29"/>
      <c r="EX21" s="29"/>
      <c r="EZ21" s="29"/>
      <c r="FB21" s="29"/>
      <c r="FD21" s="29"/>
      <c r="FF21" s="29"/>
      <c r="FH21" s="29"/>
      <c r="FJ21" s="29"/>
      <c r="FL21" s="29"/>
      <c r="FN21" s="29"/>
      <c r="FP21" s="29"/>
    </row>
    <row r="22" ht="15.75" customHeight="1">
      <c r="A22" s="77" t="s">
        <v>76</v>
      </c>
      <c r="B22" s="78" t="s">
        <v>77</v>
      </c>
      <c r="C22" s="77" t="s">
        <v>78</v>
      </c>
      <c r="D22" s="79" t="s">
        <v>79</v>
      </c>
      <c r="E22" s="79" t="s">
        <v>80</v>
      </c>
      <c r="F22" s="79" t="s">
        <v>81</v>
      </c>
      <c r="G22" s="80" t="s">
        <v>79</v>
      </c>
      <c r="H22" s="80" t="s">
        <v>80</v>
      </c>
      <c r="I22" s="81" t="s">
        <v>81</v>
      </c>
      <c r="J22" s="82"/>
      <c r="K22" s="82"/>
      <c r="L22" s="83" t="s">
        <v>82</v>
      </c>
      <c r="M22" s="84" t="s">
        <v>79</v>
      </c>
      <c r="N22" s="85" t="s">
        <v>83</v>
      </c>
      <c r="P22" s="86"/>
      <c r="Q22" s="87" t="s">
        <v>79</v>
      </c>
      <c r="R22" s="87" t="s">
        <v>84</v>
      </c>
      <c r="S22" s="87" t="s">
        <v>85</v>
      </c>
      <c r="T22" s="88" t="s">
        <v>86</v>
      </c>
      <c r="U22" s="89" t="s">
        <v>55</v>
      </c>
      <c r="V22" s="90" t="s">
        <v>87</v>
      </c>
      <c r="W22" s="91" t="s">
        <v>71</v>
      </c>
      <c r="X22" s="82"/>
      <c r="Y22" s="86"/>
      <c r="Z22" s="87" t="s">
        <v>79</v>
      </c>
      <c r="AA22" s="87" t="s">
        <v>84</v>
      </c>
      <c r="AB22" s="87" t="s">
        <v>85</v>
      </c>
      <c r="AC22" s="88" t="s">
        <v>86</v>
      </c>
      <c r="AD22" s="89" t="s">
        <v>55</v>
      </c>
      <c r="AE22" s="90" t="s">
        <v>87</v>
      </c>
      <c r="AF22" s="91" t="s">
        <v>71</v>
      </c>
      <c r="AH22" s="86"/>
      <c r="AI22" s="79" t="s">
        <v>79</v>
      </c>
      <c r="AJ22" s="79" t="s">
        <v>84</v>
      </c>
      <c r="AK22" s="79" t="s">
        <v>85</v>
      </c>
      <c r="AL22" s="88" t="s">
        <v>86</v>
      </c>
      <c r="AM22" s="89" t="s">
        <v>55</v>
      </c>
      <c r="AN22" s="80" t="s">
        <v>87</v>
      </c>
      <c r="AO22" s="81" t="s">
        <v>71</v>
      </c>
      <c r="AP22" s="77"/>
      <c r="AQ22" s="86"/>
      <c r="AR22" s="79" t="s">
        <v>79</v>
      </c>
      <c r="AS22" s="79" t="s">
        <v>84</v>
      </c>
      <c r="AT22" s="79" t="s">
        <v>85</v>
      </c>
      <c r="AU22" s="88" t="s">
        <v>86</v>
      </c>
      <c r="AV22" s="89" t="s">
        <v>55</v>
      </c>
      <c r="AW22" s="80" t="s">
        <v>87</v>
      </c>
      <c r="AX22" s="81" t="s">
        <v>71</v>
      </c>
      <c r="AY22" s="77"/>
      <c r="AZ22" s="86"/>
      <c r="BA22" s="79" t="s">
        <v>79</v>
      </c>
      <c r="BB22" s="79" t="s">
        <v>84</v>
      </c>
      <c r="BC22" s="79" t="s">
        <v>85</v>
      </c>
      <c r="BD22" s="88" t="s">
        <v>86</v>
      </c>
      <c r="BE22" s="89" t="s">
        <v>55</v>
      </c>
      <c r="BF22" s="80" t="s">
        <v>87</v>
      </c>
      <c r="BG22" s="81" t="s">
        <v>71</v>
      </c>
      <c r="BH22" s="77"/>
      <c r="BI22" s="86"/>
      <c r="BJ22" s="92" t="s">
        <v>9</v>
      </c>
      <c r="BK22" s="93" t="s">
        <v>88</v>
      </c>
      <c r="BM22" s="94" t="s">
        <v>89</v>
      </c>
      <c r="BN22" s="95" t="s">
        <v>90</v>
      </c>
      <c r="BO22" s="96" t="s">
        <v>91</v>
      </c>
      <c r="BP22" s="97" t="s">
        <v>92</v>
      </c>
      <c r="BQ22" s="77"/>
      <c r="BR22" s="98" t="s">
        <v>93</v>
      </c>
      <c r="BS22" s="99" t="s">
        <v>94</v>
      </c>
      <c r="BT22" s="100" t="s">
        <v>95</v>
      </c>
      <c r="BU22" s="18"/>
      <c r="BV22" s="101" t="s">
        <v>96</v>
      </c>
      <c r="BW22" s="102" t="s">
        <v>97</v>
      </c>
      <c r="BX22" s="103" t="s">
        <v>96</v>
      </c>
      <c r="BY22" s="102" t="s">
        <v>97</v>
      </c>
      <c r="BZ22" s="103" t="s">
        <v>96</v>
      </c>
      <c r="CA22" s="102" t="s">
        <v>97</v>
      </c>
      <c r="CB22" s="104" t="s">
        <v>96</v>
      </c>
      <c r="CC22" s="105" t="s">
        <v>97</v>
      </c>
      <c r="CD22" s="104" t="s">
        <v>96</v>
      </c>
      <c r="CE22" s="105" t="s">
        <v>97</v>
      </c>
      <c r="CF22" s="106" t="s">
        <v>96</v>
      </c>
      <c r="CG22" s="107" t="s">
        <v>97</v>
      </c>
      <c r="CH22" s="108"/>
      <c r="CI22" s="108"/>
      <c r="CJ22" s="108"/>
      <c r="CK22" s="108"/>
      <c r="CL22" s="108"/>
      <c r="CM22" s="108"/>
      <c r="CN22" s="108"/>
      <c r="CO22" s="108"/>
      <c r="CP22" s="108"/>
      <c r="CQ22" s="108"/>
      <c r="CR22" s="108"/>
      <c r="CS22" s="108"/>
      <c r="CT22" s="108"/>
      <c r="CU22" s="108"/>
      <c r="CV22" s="108"/>
      <c r="CW22" s="108"/>
      <c r="CX22" s="108"/>
      <c r="CY22" s="108"/>
      <c r="CZ22" s="108"/>
      <c r="DA22" s="108"/>
      <c r="DB22" s="108"/>
      <c r="DC22" s="108"/>
      <c r="DD22" s="108"/>
      <c r="DE22" s="108"/>
      <c r="DF22" s="108"/>
      <c r="DG22" s="108"/>
      <c r="DH22" s="108"/>
      <c r="DI22" s="108"/>
      <c r="DJ22" s="108"/>
      <c r="DK22" s="108"/>
      <c r="DL22" s="108"/>
      <c r="DM22" s="108"/>
      <c r="DN22" s="108"/>
      <c r="DO22" s="108"/>
      <c r="DP22" s="108"/>
      <c r="DQ22" s="108"/>
      <c r="DR22" s="108"/>
      <c r="DS22" s="108"/>
      <c r="DT22" s="108"/>
      <c r="DU22" s="108"/>
      <c r="DV22" s="108"/>
      <c r="DW22" s="108"/>
      <c r="DX22" s="108"/>
      <c r="DY22" s="108"/>
      <c r="DZ22" s="108"/>
      <c r="EA22" s="108"/>
      <c r="EB22" s="108"/>
      <c r="EC22" s="108"/>
      <c r="ED22" s="108"/>
      <c r="EE22" s="108"/>
      <c r="EF22" s="108"/>
      <c r="EG22" s="108"/>
      <c r="EH22" s="108"/>
      <c r="EI22" s="108"/>
      <c r="EJ22" s="108"/>
      <c r="EK22" s="108"/>
      <c r="EL22" s="108"/>
      <c r="EM22" s="108"/>
      <c r="EN22" s="108"/>
      <c r="EO22" s="108"/>
      <c r="EP22" s="108"/>
      <c r="EQ22" s="108"/>
      <c r="ER22" s="108"/>
      <c r="ES22" s="108"/>
      <c r="ET22" s="108"/>
      <c r="EU22" s="108"/>
      <c r="EV22" s="108"/>
      <c r="EW22" s="108"/>
      <c r="EX22" s="108"/>
      <c r="EY22" s="108"/>
      <c r="EZ22" s="108"/>
      <c r="FA22" s="108"/>
      <c r="FB22" s="108"/>
      <c r="FC22" s="108"/>
      <c r="FD22" s="108"/>
      <c r="FE22" s="108"/>
      <c r="FF22" s="108"/>
      <c r="FG22" s="108"/>
      <c r="FH22" s="108"/>
      <c r="FI22" s="108"/>
      <c r="FJ22" s="108"/>
      <c r="FK22" s="108"/>
      <c r="FL22" s="108"/>
      <c r="FM22" s="108"/>
      <c r="FN22" s="108"/>
      <c r="FO22" s="108"/>
      <c r="FP22" s="29"/>
    </row>
    <row r="23" ht="15.75" customHeight="1">
      <c r="A23" s="109">
        <v>0.0</v>
      </c>
      <c r="B23" s="110" t="s">
        <v>98</v>
      </c>
      <c r="C23" s="111">
        <v>0.0</v>
      </c>
      <c r="D23" s="112">
        <v>0.22</v>
      </c>
      <c r="E23" s="112">
        <f>-D2*LN(1-D23)</f>
        <v>1.242306796</v>
      </c>
      <c r="F23" s="113">
        <f>C23+E23</f>
        <v>1.242306796</v>
      </c>
      <c r="G23" s="114">
        <v>0.06</v>
      </c>
      <c r="H23" s="114">
        <f>_a+G23*(_b-_a)</f>
        <v>57.36</v>
      </c>
      <c r="I23" s="115">
        <f>C23+H23</f>
        <v>57.36</v>
      </c>
      <c r="K23" s="18"/>
      <c r="L23" s="110">
        <v>0.0</v>
      </c>
      <c r="M23" s="116"/>
      <c r="N23" s="85"/>
      <c r="P23" s="117" t="s">
        <v>26</v>
      </c>
      <c r="Q23" s="118"/>
      <c r="R23" s="118"/>
      <c r="S23" s="118"/>
      <c r="T23" s="14"/>
      <c r="U23" s="14"/>
      <c r="V23" s="14"/>
      <c r="W23" s="119"/>
      <c r="Y23" s="117" t="str">
        <f>_L</f>
        <v>Libre</v>
      </c>
      <c r="Z23" s="118"/>
      <c r="AA23" s="118"/>
      <c r="AB23" s="118"/>
      <c r="AC23" s="14"/>
      <c r="AD23" s="14"/>
      <c r="AE23" s="14"/>
      <c r="AF23" s="119"/>
      <c r="AH23" s="117" t="str">
        <f>_L</f>
        <v>Libre</v>
      </c>
      <c r="AI23" s="120"/>
      <c r="AJ23" s="120"/>
      <c r="AK23" s="120"/>
      <c r="AL23" s="121"/>
      <c r="AM23" s="121"/>
      <c r="AN23" s="121"/>
      <c r="AO23" s="122"/>
      <c r="AP23" s="123"/>
      <c r="AQ23" s="117" t="str">
        <f>_L</f>
        <v>Libre</v>
      </c>
      <c r="AR23" s="120"/>
      <c r="AS23" s="120"/>
      <c r="AT23" s="120"/>
      <c r="AU23" s="121"/>
      <c r="AV23" s="121"/>
      <c r="AW23" s="121"/>
      <c r="AX23" s="122"/>
      <c r="AY23" s="123"/>
      <c r="AZ23" s="117" t="str">
        <f>_L</f>
        <v>Libre</v>
      </c>
      <c r="BA23" s="120"/>
      <c r="BB23" s="120"/>
      <c r="BC23" s="120"/>
      <c r="BD23" s="121"/>
      <c r="BE23" s="121"/>
      <c r="BF23" s="121"/>
      <c r="BG23" s="122"/>
      <c r="BH23" s="123"/>
      <c r="BI23" s="124" t="s">
        <v>99</v>
      </c>
      <c r="BJ23" s="125" t="str">
        <f>_T_Sa</f>
        <v>Salio</v>
      </c>
      <c r="BK23" s="126">
        <v>0.0</v>
      </c>
      <c r="BM23" s="127">
        <v>0.0</v>
      </c>
      <c r="BN23" s="128">
        <v>0.0</v>
      </c>
      <c r="BO23" s="129">
        <v>0.0</v>
      </c>
      <c r="BP23" s="130">
        <v>0.0</v>
      </c>
      <c r="BQ23" s="18"/>
      <c r="BR23" s="131"/>
      <c r="BS23" s="12" t="str">
        <f t="shared" ref="BS23:BS33" si="5">IF(BP23&gt;0,ROUND(BO23/BP23,2),"Sin visitas")</f>
        <v>Sin visitas</v>
      </c>
      <c r="BT23" s="132"/>
      <c r="BV23" s="101"/>
      <c r="BW23" s="102"/>
      <c r="BX23" s="103"/>
      <c r="BY23" s="102"/>
      <c r="BZ23" s="103"/>
      <c r="CA23" s="102"/>
      <c r="CB23" s="104"/>
      <c r="CC23" s="105"/>
      <c r="CD23" s="104"/>
      <c r="CE23" s="105"/>
      <c r="CF23" s="103"/>
      <c r="CG23" s="133"/>
      <c r="CH23" s="18"/>
      <c r="CI23" s="18"/>
      <c r="CJ23" s="18"/>
      <c r="CK23" s="18"/>
      <c r="CL23" s="18"/>
      <c r="CM23" s="18"/>
      <c r="CN23" s="18"/>
      <c r="CO23" s="18"/>
      <c r="CP23" s="18"/>
      <c r="CQ23" s="18"/>
      <c r="CR23" s="18"/>
      <c r="CS23" s="18"/>
      <c r="CT23" s="18"/>
      <c r="CU23" s="18"/>
      <c r="CV23" s="18"/>
      <c r="CW23" s="18"/>
      <c r="CX23" s="18"/>
      <c r="CY23" s="18"/>
      <c r="CZ23" s="18"/>
      <c r="DA23" s="18"/>
      <c r="DB23" s="18"/>
      <c r="DC23" s="18"/>
      <c r="DD23" s="18"/>
      <c r="DE23" s="18"/>
      <c r="DF23" s="18"/>
      <c r="DG23" s="18"/>
      <c r="DH23" s="18"/>
      <c r="DI23" s="18"/>
      <c r="DJ23" s="18"/>
      <c r="DK23" s="18"/>
      <c r="DL23" s="18"/>
      <c r="DM23" s="18"/>
      <c r="DN23" s="18"/>
      <c r="DO23" s="18"/>
      <c r="DP23" s="18"/>
      <c r="DQ23" s="18"/>
      <c r="DR23" s="18"/>
      <c r="DS23" s="18"/>
      <c r="DT23" s="18"/>
      <c r="DU23" s="18"/>
      <c r="DV23" s="18"/>
      <c r="DW23" s="18"/>
      <c r="DX23" s="18"/>
      <c r="DY23" s="18"/>
      <c r="DZ23" s="18"/>
      <c r="EA23" s="18"/>
      <c r="EB23" s="18"/>
      <c r="EC23" s="18"/>
      <c r="ED23" s="18"/>
      <c r="EE23" s="18"/>
      <c r="EF23" s="18"/>
      <c r="EG23" s="18"/>
      <c r="EH23" s="18"/>
      <c r="EI23" s="18"/>
      <c r="EJ23" s="18"/>
      <c r="EK23" s="18"/>
      <c r="EL23" s="18"/>
      <c r="EM23" s="18"/>
      <c r="EN23" s="18"/>
      <c r="EO23" s="18"/>
      <c r="EP23" s="18"/>
      <c r="EQ23" s="18"/>
      <c r="ER23" s="18"/>
      <c r="ES23" s="18"/>
      <c r="ET23" s="18"/>
      <c r="EU23" s="18"/>
      <c r="EV23" s="18"/>
      <c r="EW23" s="18"/>
      <c r="EX23" s="18"/>
      <c r="EY23" s="18"/>
      <c r="EZ23" s="18"/>
      <c r="FA23" s="18"/>
      <c r="FB23" s="18"/>
      <c r="FC23" s="18"/>
      <c r="FD23" s="18"/>
      <c r="FE23" s="18"/>
      <c r="FF23" s="18"/>
      <c r="FG23" s="18"/>
      <c r="FH23" s="18"/>
      <c r="FI23" s="18"/>
      <c r="FJ23" s="18"/>
      <c r="FK23" s="18"/>
      <c r="FL23" s="18"/>
      <c r="FM23" s="18"/>
      <c r="FN23" s="18"/>
      <c r="FO23" s="18"/>
      <c r="FQ23" s="18"/>
      <c r="FR23" s="18"/>
      <c r="FS23" s="18"/>
      <c r="FT23" s="18"/>
      <c r="FU23" s="18"/>
      <c r="FV23" s="18"/>
      <c r="FW23" s="18"/>
      <c r="FX23" s="18"/>
      <c r="FY23" s="18"/>
      <c r="FZ23" s="18"/>
      <c r="GA23" s="18"/>
      <c r="GB23" s="18"/>
      <c r="GC23" s="18"/>
      <c r="GD23" s="18"/>
      <c r="GE23" s="18"/>
      <c r="GF23" s="18"/>
      <c r="GG23" s="18"/>
      <c r="GH23" s="18"/>
      <c r="GI23" s="18"/>
    </row>
    <row r="24" ht="15.75" customHeight="1">
      <c r="A24" s="109">
        <v>1.0</v>
      </c>
      <c r="B24" s="110" t="str">
        <f>IFERROR(__xludf.DUMMYFUNCTION("SWITCH(C24,F23,_LA,I23,_LM,S23,_FA1,W23,_FM1,AB23,_FA2,AF23,_FM2,AK23,_FA3,AO23,_FM3,AT23,_FA4,AX23,_FM4,BC23,_FA5,BG23,_FM5,INDEX(SPLIT(BI23, "";""), 1),_LA)"),"Llegada alumno")</f>
        <v>Llegada alumno</v>
      </c>
      <c r="C24" s="134">
        <f>IFERROR(__xludf.DUMMYFUNCTION("MIN(F23,I23,S23,W23,AB23,AF23,AK23,AO23,AT23,AX23,BC23,BG23,INDEX(SPLIT(BI23, "";""), 1))"),1.242306796492498)</f>
        <v>1.242306796</v>
      </c>
      <c r="D24" s="112">
        <v>0.6157124559939989</v>
      </c>
      <c r="E24" s="112">
        <f>IF(ISNUMBER(D24),-_media*LN(1-D24),"-")</f>
        <v>4.78182097</v>
      </c>
      <c r="F24" s="112">
        <f t="shared" ref="F24:F33" si="6">IF(ISNUMBER(D24),ROUND(C24+E24,2),F23)</f>
        <v>6.02</v>
      </c>
      <c r="G24" s="14"/>
      <c r="H24" s="114" t="str">
        <f>IF(ISNUMBER(G24),_a+G24*(_b-_a),"-")</f>
        <v>-</v>
      </c>
      <c r="I24" s="115">
        <f t="shared" ref="I24:I33" si="7">IF(ISNUMBER(G24),ROUND(C24+H24,2),IF(AND(ISNUMBER(I23),C24&lt;I23),I23,"-"))</f>
        <v>57.36</v>
      </c>
      <c r="K24" s="18"/>
      <c r="L24" s="110">
        <f t="array" ref="L24">IF(AND(B24=_LA, P23&lt;&gt;_L, Y23&lt;&gt;_L, AH23&lt;&gt;_L, AQ23&lt;&gt;_L, AZ23&lt;&gt;_L), 
    MIN(L23+1,7),
    IFERROR(
        IF(AND(OR(B24=_FA1, B24=_FA2, B24=_FA3, B24=_FA4, B24=_FA5), INDIRECT("_FA" &amp; BK23) &lt;&gt; B24), 
           MAX(L23-1,0),
           IF(OR(B24=_FM1, B24=_FM2, B24=_FM3, B24=_FM4, B24=_FM5),MAX(L23-1,0),L23)
        ),
        L23
    )
)</f>
        <v>0</v>
      </c>
      <c r="M24" s="135">
        <v>0.34</v>
      </c>
      <c r="N24" s="85">
        <f>IFERROR(__xludf.DUMMYFUNCTION("IF(ISNUMBER(M24),INDEX(FILTER({1; 2; 3; 4; 5}, {P23; Y23; AH23; AQ23; AZ23}=""Libre""), ROUNDUP(M24 * COUNTIF({P23; Y23; AH23; AQ23; AZ23}, ""Libre""), 0)), ""-"")"),2.0)</f>
        <v>2</v>
      </c>
      <c r="P24" s="117" t="str">
        <f>IF(ISNUMBER(Q24),_I,
    IF(ISNUMBER(T24),_M,
       IF(OR($B24=_FA1,$B24=_FM1),_L,P23)))</f>
        <v>Libre</v>
      </c>
      <c r="Q24" s="112"/>
      <c r="R24" s="112" t="str">
        <f>IF(ISNUMBER(Q24),_aAtencion+Q24*(_bAtencion-_aAtencion),"-")</f>
        <v>-</v>
      </c>
      <c r="S24" s="118" t="str">
        <f t="shared" ref="S24:S33" si="8">IF(ISNUMBER(Q24),ROUND($C24+R24,2),
IF(P23&lt;&gt;P24,"-",S23))</f>
        <v/>
      </c>
      <c r="T24" s="14"/>
      <c r="U24" s="114" t="str">
        <f t="shared" ref="U24:U34" si="9">IF(ISNUMBER(T24), LOOKUP(T24,$N$14:$N$16,$K$14:$K$16), "-")</f>
        <v>-</v>
      </c>
      <c r="V24" s="114" t="str">
        <f>IF(ISNUMBER(T24),_aDemora+T24*(_bDemora-_aDemora),"-")</f>
        <v>-</v>
      </c>
      <c r="W24" s="119" t="str">
        <f t="shared" ref="W24:W33" si="10">IF(ISNUMBER(T24),$C24+V24,
IF(P23&lt;&gt;P24,"-",W23))</f>
        <v/>
      </c>
      <c r="Y24" s="117" t="str">
        <f>IF(ISNUMBER(Z24),_I,
    IF(ISNUMBER(AC24),_M,
       IF(OR($B24=_FA2,$B24=_FM2),_L,Y23)))</f>
        <v>Inscribiendo</v>
      </c>
      <c r="Z24" s="112">
        <v>0.10813353395706471</v>
      </c>
      <c r="AA24" s="112">
        <f>IF(ISNUMBER(Z24),_aAtencion+Z24*(_bAtencion-_aAtencion),"-")</f>
        <v>5.324400602</v>
      </c>
      <c r="AB24" s="112">
        <f t="shared" ref="AB24:AB33" si="11">IF(ISNUMBER(Z24),ROUND($C24+AA24,2),
IF(Y23&lt;&gt;Y24,"-",AB23))</f>
        <v>6.57</v>
      </c>
      <c r="AC24" s="14"/>
      <c r="AD24" s="114" t="str">
        <f t="shared" ref="AD24:AD33" si="12">IF(ISNUMBER(AC24), LOOKUP(AC24,$N$14:$N$16,$K$14:$K$16), "-")</f>
        <v>-</v>
      </c>
      <c r="AE24" s="114"/>
      <c r="AF24" s="119" t="str">
        <f t="shared" ref="AF24:AF33" si="13">IF(ISNUMBER(AC24),$C24+AE24,
IF(Y23&lt;&gt;Y24,"-",AF23))</f>
        <v>-</v>
      </c>
      <c r="AH24" s="117" t="str">
        <f>IF(ISNUMBER(AI24),_I,
    IF(ISNUMBER(AL24),_M,
       IF(OR($B24=_FA3,$B24=_FM3),_L,AH23)))</f>
        <v>Libre</v>
      </c>
      <c r="AI24" s="112"/>
      <c r="AJ24" s="112" t="str">
        <f>IF(ISNUMBER(AI24),_aAtencion+AI24*(_bAtencion-_aAtencion),"-")</f>
        <v>-</v>
      </c>
      <c r="AK24" s="118" t="str">
        <f t="shared" ref="AK24:AK33" si="14">IF(ISNUMBER(AI24),ROUND($C24+AJ24,2),
IF(AH23&lt;&gt;AH24,"-",AK23))</f>
        <v/>
      </c>
      <c r="AL24" s="14"/>
      <c r="AM24" s="114" t="str">
        <f t="shared" ref="AM24:AM33" si="15">IF(ISNUMBER(AL24), LOOKUP(AL24,$N$14:$N$16,$K$14:$K$16), "-")</f>
        <v>-</v>
      </c>
      <c r="AN24" s="114"/>
      <c r="AO24" s="119" t="str">
        <f t="shared" ref="AO24:AO33" si="16">IF(ISNUMBER(AL24),$C24+AN24,
IF(AH23&lt;&gt;AH24,"-",AO23))</f>
        <v/>
      </c>
      <c r="AP24" s="123"/>
      <c r="AQ24" s="117" t="str">
        <f>IF(ISNUMBER(AR24),_I,
    IF(ISNUMBER(AU24),_M,
       IF(OR($B24=_FA4,$B24=_FM4),_L,AQ23)))</f>
        <v>Libre</v>
      </c>
      <c r="AR24" s="112"/>
      <c r="AS24" s="112" t="str">
        <f>IF(ISNUMBER(AR24),_aAtencion+AR24*(_bAtencion-_aAtencion),"-")</f>
        <v>-</v>
      </c>
      <c r="AT24" s="118" t="str">
        <f t="shared" ref="AT24:AT33" si="17">IF(ISNUMBER(AR24),ROUND($C24+AS24,2),
IF(AQ23&lt;&gt;AQ24,"-",AT23))</f>
        <v/>
      </c>
      <c r="AU24" s="136"/>
      <c r="AV24" s="114" t="str">
        <f t="shared" ref="AV24:AV33" si="18">IF(ISNUMBER(AU24), LOOKUP(AU24,$N$14:$N$16,$K$14:$K$16), "-")</f>
        <v>-</v>
      </c>
      <c r="AW24" s="114" t="str">
        <f>IF(ISNUMBER(AU24),_aDemora+AU24*(_bDemora-_aDemora),"-")</f>
        <v>-</v>
      </c>
      <c r="AX24" s="119" t="str">
        <f t="shared" ref="AX24:AX33" si="19">IF(ISNUMBER(AU24),$C24+AW24,
IF(AQ23&lt;&gt;AQ24,"-",AX23))</f>
        <v/>
      </c>
      <c r="AY24" s="123"/>
      <c r="AZ24" s="117" t="str">
        <f>IF(ISNUMBER(BA24),_I,
    IF(ISNUMBER(BD24),_M,
       IF(OR($B24=_FA5,$B24=_FM5),_L,AZ23)))</f>
        <v>Libre</v>
      </c>
      <c r="BA24" s="112"/>
      <c r="BB24" s="112" t="str">
        <f>IF(ISNUMBER(BA24),_aAtencion+BA24*(_bAtencion-_aAtencion),"-")</f>
        <v>-</v>
      </c>
      <c r="BC24" s="118" t="str">
        <f t="shared" ref="BC24:BC33" si="20">IF(ISNUMBER(BA24),ROUND($C24+BB24,2),
IF(AZ23&lt;&gt;AZ24,"-",BC23))</f>
        <v/>
      </c>
      <c r="BD24" s="14"/>
      <c r="BE24" s="114" t="str">
        <f t="shared" ref="BE24:BE33" si="21">IF(ISNUMBER(BD24), LOOKUP(BD24,$N$14:$N$16,$K$14:$K$16), "-")</f>
        <v>-</v>
      </c>
      <c r="BF24" s="114" t="str">
        <f>IF(ISNUMBER(BD24),_aDemora+BD24*(_bDemora-_aDemora),"-")</f>
        <v>-</v>
      </c>
      <c r="BG24" s="119" t="str">
        <f t="shared" ref="BG24:BG33" si="22">IF(ISNUMBER(BD24),$C24+BF24,
IF(AZ23&lt;&gt;AZ24,"-",BG23))</f>
        <v/>
      </c>
      <c r="BH24" s="123"/>
      <c r="BI24" s="124" t="str">
        <f>IFERROR(__xludf.DUMMYFUNCTION("IF(AND(L23&gt;6, B24=_LA),
    IF(BI23=""-"", (C24+30), BI23 &amp; "";"" &amp; (C24+30)),
    IFERROR(
             IF(C24=INDEX(SPLIT(BI23, "";""), 1), INDEX(SPLIT(BI23, "";""), 2), BI23),
             ""-"")
)"),"-")</f>
        <v>-</v>
      </c>
      <c r="BJ24" s="125" t="str">
        <f t="array" ref="BJ24">IF(BJ23=_T_Sa,
    IF(B24&lt;&gt;_LM,_T_Sa,
        IF(P23=_L,_T_tr,_T_Es)),
 IF(BJ23=_T_Es,
    IF(B24=INDIRECT("_FA" &amp; BK23),_T_tr,BJ23),
 IF(OR(B24=_FM1,B24=_FM2,B24=_FM3,B24=_FM4),
     IF(CHOOSE(BK23+1,P23,Y23,AH23,AQ23,AZ23)=_L,_T_tr,_T_Es),
IF(B24=_FM5,_T_Sa,BJ23))))</f>
        <v>Salio</v>
      </c>
      <c r="BK24" s="126">
        <f>IF(BJ23=_T_Sa,
    IF(BJ23&lt;&gt;BJ24,1,BK23),
 IF(BJ24=_T_Sa,0, 
 IF(OR(B24=_FM1,B24=_FM2,B24=_FM3,B24=_FM4,B24=_FM5),BK23+1,BK23)))</f>
        <v>0</v>
      </c>
      <c r="BM24" s="127">
        <f>IF(AND(L23&gt;6,B24=_LA),BM23+1,BM23)</f>
        <v>0</v>
      </c>
      <c r="BN24" s="128">
        <f>IF(B24=_LA,BN23+1,BN23)</f>
        <v>1</v>
      </c>
      <c r="BO24" s="129">
        <f>IF(BJ24=_T_Es,BO23+(C24-C23),BO23)</f>
        <v>0</v>
      </c>
      <c r="BP24" s="130">
        <v>0.0</v>
      </c>
      <c r="BQ24" s="18"/>
      <c r="BR24" s="137">
        <f t="shared" ref="BR24:BR33" si="23">(BM24/BN24)</f>
        <v>0</v>
      </c>
      <c r="BS24" s="12" t="str">
        <f t="shared" si="5"/>
        <v>Sin visitas</v>
      </c>
      <c r="BT24" s="132" t="str">
        <f t="shared" ref="BT24:BT33" si="24">IF(QUOTIENT(C24,1440)&gt;0,BP24/QUOTIENT(C24,1440),"Menos de un dia")</f>
        <v>Menos de un dia</v>
      </c>
      <c r="BU24" s="18"/>
      <c r="BV24" s="101" t="s">
        <v>100</v>
      </c>
      <c r="BW24" s="102">
        <v>2.0</v>
      </c>
      <c r="BX24" s="103"/>
      <c r="BY24" s="102"/>
      <c r="BZ24" s="103"/>
      <c r="CA24" s="102"/>
      <c r="CB24" s="104"/>
      <c r="CC24" s="138"/>
      <c r="CD24" s="104"/>
      <c r="CE24" s="138"/>
      <c r="CF24" s="103"/>
      <c r="CG24" s="133"/>
      <c r="CH24" s="18"/>
      <c r="CI24" s="18"/>
      <c r="CJ24" s="18"/>
      <c r="CK24" s="18"/>
      <c r="CL24" s="18"/>
      <c r="CM24" s="18"/>
      <c r="CN24" s="18"/>
      <c r="CO24" s="18"/>
      <c r="CP24" s="18"/>
      <c r="CQ24" s="18"/>
      <c r="CR24" s="18"/>
      <c r="CS24" s="18"/>
      <c r="CT24" s="18"/>
      <c r="CU24" s="18"/>
      <c r="CV24" s="18"/>
      <c r="CW24" s="18"/>
      <c r="CX24" s="18"/>
      <c r="CY24" s="18"/>
      <c r="CZ24" s="18"/>
      <c r="DA24" s="18"/>
      <c r="DB24" s="18"/>
      <c r="DC24" s="18"/>
      <c r="DD24" s="18"/>
      <c r="DE24" s="18"/>
      <c r="DF24" s="18"/>
      <c r="DG24" s="18"/>
      <c r="DH24" s="18"/>
      <c r="DI24" s="18"/>
      <c r="DJ24" s="18"/>
      <c r="DK24" s="18"/>
      <c r="DL24" s="18"/>
      <c r="DM24" s="18"/>
      <c r="DN24" s="18"/>
      <c r="DO24" s="18"/>
      <c r="DP24" s="18"/>
      <c r="DQ24" s="18"/>
      <c r="DR24" s="18"/>
      <c r="DS24" s="18"/>
      <c r="DT24" s="18"/>
      <c r="DU24" s="18"/>
      <c r="DV24" s="18"/>
      <c r="DW24" s="18"/>
      <c r="DX24" s="18"/>
      <c r="DY24" s="18"/>
      <c r="DZ24" s="18"/>
      <c r="EA24" s="18"/>
      <c r="EB24" s="18"/>
      <c r="EC24" s="18"/>
      <c r="ED24" s="18"/>
      <c r="EE24" s="18"/>
      <c r="EF24" s="18"/>
      <c r="EG24" s="18"/>
      <c r="EH24" s="18"/>
      <c r="EI24" s="18"/>
      <c r="EJ24" s="18"/>
      <c r="EK24" s="18"/>
      <c r="EL24" s="18"/>
      <c r="EM24" s="18"/>
      <c r="EN24" s="18"/>
      <c r="EO24" s="18"/>
      <c r="EP24" s="18"/>
      <c r="EQ24" s="18"/>
      <c r="ER24" s="18"/>
      <c r="ES24" s="18"/>
      <c r="ET24" s="18"/>
      <c r="EU24" s="18"/>
      <c r="EV24" s="18"/>
      <c r="EW24" s="18"/>
      <c r="EX24" s="18"/>
      <c r="EY24" s="18"/>
      <c r="EZ24" s="18"/>
      <c r="FA24" s="18"/>
      <c r="FB24" s="18"/>
      <c r="FC24" s="18"/>
      <c r="FD24" s="18"/>
      <c r="FE24" s="18"/>
      <c r="FF24" s="18"/>
      <c r="FG24" s="18"/>
      <c r="FH24" s="18"/>
      <c r="FI24" s="18"/>
      <c r="FJ24" s="18"/>
      <c r="FK24" s="18"/>
      <c r="FL24" s="18"/>
      <c r="FM24" s="18"/>
      <c r="FN24" s="18"/>
      <c r="FO24" s="18"/>
    </row>
    <row r="25" ht="15.75" customHeight="1">
      <c r="A25" s="109">
        <v>2.0</v>
      </c>
      <c r="B25" s="110" t="str">
        <f>IFERROR(__xludf.DUMMYFUNCTION("SWITCH(C25,F24,_LA,I24,_LM,S24,_FA1,W24,_FM1,AB24,_FA2,AF24,_FM2,AK24,_FA3,AO24,_FM3,AT24,_FA4,AX24,_FM4,BC24,_FA5,BG24,_FM5,INDEX(SPLIT(BI24, "";""), 1),_LA)"),"Llegada alumno")</f>
        <v>Llegada alumno</v>
      </c>
      <c r="C25" s="134">
        <f>IFERROR(__xludf.DUMMYFUNCTION("MIN(F24,I24,S24,W24,AB24,AF24,AK24,AO24,AT24,AX24,BC24,BG24,INDEX(SPLIT(BI24, "";""), 1))"),6.02)</f>
        <v>6.02</v>
      </c>
      <c r="D25" s="112">
        <v>0.5471823620378886</v>
      </c>
      <c r="E25" s="112">
        <f>IF(ISNUMBER(D25),-_media*LN(1-D25),"-")</f>
        <v>3.961328999</v>
      </c>
      <c r="F25" s="112">
        <f t="shared" si="6"/>
        <v>9.98</v>
      </c>
      <c r="G25" s="14"/>
      <c r="H25" s="114" t="str">
        <f>IF(ISNUMBER(G25),_a+G25*(_b-_a),"-")</f>
        <v>-</v>
      </c>
      <c r="I25" s="115">
        <f t="shared" si="7"/>
        <v>57.36</v>
      </c>
      <c r="K25" s="18"/>
      <c r="L25" s="110">
        <f t="array" ref="L25">IF(AND(B25=_LA, P24&lt;&gt;_L, Y24&lt;&gt;_L, AH24&lt;&gt;_L, AQ24&lt;&gt;_L, AZ24&lt;&gt;_L), 
    MIN(L24+1,7),
    IFERROR(
        IF(AND(OR(B25=_FA1, B25=_FA2, B25=_FA3, B25=_FA4, B25=_FA5), INDIRECT("_FA" &amp; BK24) &lt;&gt; B25), 
           MAX(L24-1,0),
           IF(OR(B25=_FM1, B25=_FM2, B25=_FM3, B25=_FM4, B25=_FM5),MAX(L24-1,0),L24)
        ),
        L24
    )
)</f>
        <v>0</v>
      </c>
      <c r="M25" s="135">
        <v>0.1</v>
      </c>
      <c r="N25" s="85">
        <f>IFERROR(__xludf.DUMMYFUNCTION("IF(ISNUMBER(M25),INDEX(FILTER({1; 2; 3; 4; 5}, {P24; Y24; AH24; AQ24; AZ24}=""Libre""), ROUNDUP(M25 * COUNTIF({P24; Y24; AH24; AQ24; AZ24}, ""Libre""), 0)), ""-"")"),1.0)</f>
        <v>1</v>
      </c>
      <c r="P25" s="117" t="str">
        <f>IF(ISNUMBER(Q25),_I,
    IF(ISNUMBER(T25),_M,
       IF(OR($B25=_FA1,$B25=_FM1),_L,P24)))</f>
        <v>Inscribiendo</v>
      </c>
      <c r="Q25" s="112">
        <v>0.6183781116711979</v>
      </c>
      <c r="R25" s="112">
        <f>IF(ISNUMBER(Q25),_aAtencion+Q25*(_bAtencion-_aAtencion),"-")</f>
        <v>6.855134335</v>
      </c>
      <c r="S25" s="112">
        <f t="shared" si="8"/>
        <v>12.88</v>
      </c>
      <c r="T25" s="14"/>
      <c r="U25" s="114" t="str">
        <f t="shared" si="9"/>
        <v>-</v>
      </c>
      <c r="V25" s="114" t="str">
        <f>IF(ISNUMBER(T25),_aDemora+T25*(_bDemora-_aDemora),"-")</f>
        <v>-</v>
      </c>
      <c r="W25" s="119" t="str">
        <f t="shared" si="10"/>
        <v>-</v>
      </c>
      <c r="Y25" s="117" t="str">
        <f>IF(ISNUMBER(Z25),_I,
    IF(ISNUMBER(AC25),_M,
       IF(OR($B25=_FA2,$B25=_FM2),_L,Y24)))</f>
        <v>Inscribiendo</v>
      </c>
      <c r="Z25" s="112"/>
      <c r="AA25" s="112" t="str">
        <f>IF(ISNUMBER(Z25),_aAtencion+Z25*(_bAtencion-_aAtencion),"-")</f>
        <v>-</v>
      </c>
      <c r="AB25" s="112">
        <f t="shared" si="11"/>
        <v>6.57</v>
      </c>
      <c r="AC25" s="14"/>
      <c r="AD25" s="114" t="str">
        <f t="shared" si="12"/>
        <v>-</v>
      </c>
      <c r="AE25" s="114"/>
      <c r="AF25" s="119" t="str">
        <f t="shared" si="13"/>
        <v>-</v>
      </c>
      <c r="AH25" s="117" t="str">
        <f>IF(ISNUMBER(AI25),_I,
    IF(ISNUMBER(AL25),_M,
       IF(OR($B25=_FA3,$B25=_FM3),_L,AH24)))</f>
        <v>Libre</v>
      </c>
      <c r="AI25" s="112"/>
      <c r="AJ25" s="112" t="str">
        <f>IF(ISNUMBER(AI25),_aAtencion+AI25*(_bAtencion-_aAtencion),"-")</f>
        <v>-</v>
      </c>
      <c r="AK25" s="118" t="str">
        <f t="shared" si="14"/>
        <v/>
      </c>
      <c r="AL25" s="14"/>
      <c r="AM25" s="114" t="str">
        <f t="shared" si="15"/>
        <v>-</v>
      </c>
      <c r="AN25" s="114"/>
      <c r="AO25" s="119" t="str">
        <f t="shared" si="16"/>
        <v/>
      </c>
      <c r="AP25" s="123"/>
      <c r="AQ25" s="117" t="str">
        <f>IF(ISNUMBER(AR25),_I,
    IF(ISNUMBER(AU25),_M,
       IF(OR($B25=_FA4,$B25=_FM4),_L,AQ24)))</f>
        <v>Libre</v>
      </c>
      <c r="AR25" s="112"/>
      <c r="AS25" s="112" t="str">
        <f>IF(ISNUMBER(AR25),_aAtencion+AR25*(_bAtencion-_aAtencion),"-")</f>
        <v>-</v>
      </c>
      <c r="AT25" s="118" t="str">
        <f t="shared" si="17"/>
        <v/>
      </c>
      <c r="AU25" s="14"/>
      <c r="AV25" s="114" t="str">
        <f t="shared" si="18"/>
        <v>-</v>
      </c>
      <c r="AW25" s="114" t="str">
        <f>IF(ISNUMBER(AU25),_aDemora+AU25*(_bDemora-_aDemora),"-")</f>
        <v>-</v>
      </c>
      <c r="AX25" s="119" t="str">
        <f t="shared" si="19"/>
        <v/>
      </c>
      <c r="AY25" s="123"/>
      <c r="AZ25" s="117" t="str">
        <f>IF(ISNUMBER(BA25),_I,
    IF(ISNUMBER(BD25),_M,
       IF(OR($B25=_FA5,$B25=_FM5),_L,AZ24)))</f>
        <v>Libre</v>
      </c>
      <c r="BA25" s="112"/>
      <c r="BB25" s="112" t="str">
        <f>IF(ISNUMBER(BA25),_aAtencion+BA25*(_bAtencion-_aAtencion),"-")</f>
        <v>-</v>
      </c>
      <c r="BC25" s="118" t="str">
        <f t="shared" si="20"/>
        <v/>
      </c>
      <c r="BD25" s="14"/>
      <c r="BE25" s="114" t="str">
        <f t="shared" si="21"/>
        <v>-</v>
      </c>
      <c r="BF25" s="114" t="str">
        <f>IF(ISNUMBER(BD25),_aDemora+BD25*(_bDemora-_aDemora),"-")</f>
        <v>-</v>
      </c>
      <c r="BG25" s="119" t="str">
        <f t="shared" si="22"/>
        <v/>
      </c>
      <c r="BH25" s="123"/>
      <c r="BI25" s="124" t="str">
        <f>IFERROR(__xludf.DUMMYFUNCTION("IF(AND(L24&gt;6, B25=_LA),
    IF(BI24=""-"", (C25+30), BI24 &amp; "";"" &amp; (C25+30)),
    IFERROR(
             IF(C25=INDEX(SPLIT(BI24, "";""), 1), INDEX(SPLIT(BI24, "";""), 2), BI24),
             ""-"")
)"),"-")</f>
        <v>-</v>
      </c>
      <c r="BJ25" s="125" t="str">
        <f t="array" ref="BJ25">IF(BJ24=_T_Sa,
    IF(B25&lt;&gt;_LM,_T_Sa,
        IF(P24=_L,_T_tr,_T_Es)),
 IF(BJ24=_T_Es,
    IF(B25=INDIRECT("_FA" &amp; BK24),_T_tr,BJ24),
 IF(OR(B25=_FM1,B25=_FM2,B25=_FM3,B25=_FM4),
     IF(CHOOSE(BK24+1,P24,Y24,AH24,AQ24,AZ24)=_L,_T_tr,_T_Es),
IF(B25=_FM5,_T_Sa,BJ24))))</f>
        <v>Salio</v>
      </c>
      <c r="BK25" s="126">
        <f>IF(BJ24=_T_Sa,
    IF(BJ24&lt;&gt;BJ25,1,BK24),
 IF(BJ25=_T_Sa,0, 
 IF(OR(B25=_FM1,B25=_FM2,B25=_FM3,B25=_FM4,B25=_FM5),BK24+1,BK24)))</f>
        <v>0</v>
      </c>
      <c r="BM25" s="127">
        <f>IF(AND(L24&gt;6,B25=_LA),BM24+1,BM24)</f>
        <v>0</v>
      </c>
      <c r="BN25" s="128">
        <f>IF(B25=_LA,BN24+1,BN24)</f>
        <v>2</v>
      </c>
      <c r="BO25" s="129">
        <f>IF(BJ25=_T_Es,BO24+(C25-C24),BO24)</f>
        <v>0</v>
      </c>
      <c r="BP25" s="130">
        <v>0.0</v>
      </c>
      <c r="BQ25" s="18"/>
      <c r="BR25" s="137">
        <f t="shared" si="23"/>
        <v>0</v>
      </c>
      <c r="BS25" s="12" t="str">
        <f t="shared" si="5"/>
        <v>Sin visitas</v>
      </c>
      <c r="BT25" s="132" t="str">
        <f t="shared" si="24"/>
        <v>Menos de un dia</v>
      </c>
      <c r="BU25" s="18"/>
      <c r="BV25" s="101" t="s">
        <v>101</v>
      </c>
      <c r="BW25" s="102">
        <v>2.0</v>
      </c>
      <c r="BX25" s="103" t="s">
        <v>100</v>
      </c>
      <c r="BY25" s="102">
        <v>1.0</v>
      </c>
      <c r="BZ25" s="103"/>
      <c r="CA25" s="102"/>
      <c r="CB25" s="104"/>
      <c r="CC25" s="105"/>
      <c r="CD25" s="104"/>
      <c r="CE25" s="105"/>
      <c r="CF25" s="103"/>
      <c r="CG25" s="133"/>
      <c r="CH25" s="18"/>
      <c r="CI25" s="18"/>
      <c r="CJ25" s="18"/>
      <c r="CK25" s="18"/>
      <c r="CL25" s="18"/>
      <c r="CM25" s="18"/>
      <c r="CN25" s="18"/>
      <c r="CO25" s="18"/>
      <c r="CP25" s="18"/>
      <c r="CQ25" s="18"/>
      <c r="CR25" s="18"/>
      <c r="CS25" s="18"/>
      <c r="CT25" s="18"/>
      <c r="CU25" s="18"/>
      <c r="CV25" s="18"/>
      <c r="CW25" s="18"/>
      <c r="CX25" s="18"/>
      <c r="CY25" s="18"/>
      <c r="CZ25" s="18"/>
      <c r="DA25" s="18"/>
      <c r="DB25" s="18"/>
      <c r="DC25" s="18"/>
      <c r="DD25" s="18"/>
      <c r="DE25" s="18"/>
      <c r="DF25" s="18"/>
      <c r="DG25" s="18"/>
      <c r="DH25" s="18"/>
      <c r="DI25" s="18"/>
      <c r="DJ25" s="18"/>
      <c r="DK25" s="18"/>
      <c r="DL25" s="18"/>
      <c r="DM25" s="18"/>
      <c r="DN25" s="18"/>
      <c r="DO25" s="18"/>
      <c r="DP25" s="18"/>
      <c r="DQ25" s="18"/>
      <c r="DR25" s="18"/>
      <c r="DS25" s="18"/>
      <c r="DT25" s="18"/>
      <c r="DU25" s="18"/>
      <c r="DV25" s="18"/>
      <c r="DW25" s="18"/>
      <c r="DX25" s="18"/>
      <c r="DY25" s="18"/>
      <c r="DZ25" s="18"/>
      <c r="EA25" s="18"/>
      <c r="EB25" s="18"/>
      <c r="EC25" s="18"/>
      <c r="ED25" s="18"/>
      <c r="EE25" s="18"/>
      <c r="EF25" s="18"/>
      <c r="EG25" s="18"/>
      <c r="EH25" s="18"/>
      <c r="EI25" s="18"/>
      <c r="EJ25" s="18"/>
      <c r="EK25" s="18"/>
      <c r="EL25" s="18"/>
      <c r="EM25" s="18"/>
      <c r="EN25" s="18"/>
      <c r="EO25" s="18"/>
      <c r="EP25" s="18"/>
      <c r="EQ25" s="18"/>
      <c r="ER25" s="18"/>
      <c r="ES25" s="18"/>
      <c r="ET25" s="18"/>
      <c r="EU25" s="18"/>
      <c r="EV25" s="18"/>
      <c r="EW25" s="18"/>
      <c r="EX25" s="18"/>
      <c r="EY25" s="18"/>
      <c r="EZ25" s="18"/>
      <c r="FA25" s="18"/>
      <c r="FB25" s="18"/>
      <c r="FC25" s="18"/>
      <c r="FD25" s="18"/>
      <c r="FE25" s="18"/>
      <c r="FF25" s="18"/>
      <c r="FG25" s="18"/>
      <c r="FH25" s="18"/>
      <c r="FI25" s="18"/>
      <c r="FJ25" s="18"/>
      <c r="FK25" s="18"/>
      <c r="FL25" s="18"/>
      <c r="FM25" s="18"/>
      <c r="FN25" s="18"/>
      <c r="FO25" s="18"/>
    </row>
    <row r="26" ht="15.75" customHeight="1">
      <c r="A26" s="109">
        <v>3.0</v>
      </c>
      <c r="B26" s="110" t="str">
        <f>IFERROR(__xludf.DUMMYFUNCTION("SWITCH(C26,F25,_LA,I25,_LM,S25,_FA1,W25,_FM1,AB25,_FA2,AF25,_FM2,AK25,_FA3,AO25,_FM3,AT25,_FA4,AX25,_FM4,BC25,_FA5,BG25,_FM5,INDEX(SPLIT(BI25, "";""), 1),_LA)"),"Fin atencion sv2")</f>
        <v>Fin atencion sv2</v>
      </c>
      <c r="C26" s="134">
        <f>IFERROR(__xludf.DUMMYFUNCTION("MIN(F25,I25,S25,W25,AB25,AF25,AK25,AO25,AT25,AX25,BC25,BG25,INDEX(SPLIT(BI25, "";""), 1))"),6.57)</f>
        <v>6.57</v>
      </c>
      <c r="D26" s="118"/>
      <c r="E26" s="112" t="str">
        <f>IF(ISNUMBER(D26),-_media*LN(1-D26),"-")</f>
        <v>-</v>
      </c>
      <c r="F26" s="112">
        <f t="shared" si="6"/>
        <v>9.98</v>
      </c>
      <c r="G26" s="14"/>
      <c r="H26" s="114" t="str">
        <f>IF(ISNUMBER(G26),_a+G26*(_b-_a),"-")</f>
        <v>-</v>
      </c>
      <c r="I26" s="115">
        <f t="shared" si="7"/>
        <v>57.36</v>
      </c>
      <c r="K26" s="18"/>
      <c r="L26" s="110">
        <f t="array" ref="L26">IF(AND(B26=_LA, P25&lt;&gt;_L, Y25&lt;&gt;_L, AH25&lt;&gt;_L, AQ25&lt;&gt;_L, AZ25&lt;&gt;_L), 
    MIN(L25+1,7),
    IFERROR(
        IF(AND(OR(B26=_FA1, B26=_FA2, B26=_FA3, B26=_FA4, B26=_FA5), INDIRECT("_FA" &amp; BK25) &lt;&gt; B26), 
           MAX(L25-1,0),
           IF(OR(B26=_FM1, B26=_FM2, B26=_FM3, B26=_FM4, B26=_FM5),MAX(L25-1,0),L25)
        ),
        L25
    )
)</f>
        <v>0</v>
      </c>
      <c r="M26" s="116"/>
      <c r="N26" s="85" t="str">
        <f>IFERROR(__xludf.DUMMYFUNCTION("IF(ISNUMBER(M26),INDEX(FILTER({1; 2; 3; 4; 5}, {P25; Y25; AH25; AQ25; AZ25}=""Libre""), ROUNDUP(M26 * COUNTIF({P25; Y25; AH25; AQ25; AZ25}, ""Libre""), 0)), ""-"")"),"-")</f>
        <v>-</v>
      </c>
      <c r="P26" s="117" t="str">
        <f>IF(ISNUMBER(Q26),_I,
    IF(ISNUMBER(T26),_M,
       IF(OR($B26=_FA1,$B26=_FM1),_L,P25)))</f>
        <v>Inscribiendo</v>
      </c>
      <c r="Q26" s="112"/>
      <c r="R26" s="112" t="str">
        <f>IF(ISNUMBER(Q26),_aAtencion+Q26*(_bAtencion-_aAtencion),"-")</f>
        <v>-</v>
      </c>
      <c r="S26" s="112">
        <f t="shared" si="8"/>
        <v>12.88</v>
      </c>
      <c r="T26" s="14"/>
      <c r="U26" s="114" t="str">
        <f t="shared" si="9"/>
        <v>-</v>
      </c>
      <c r="V26" s="114" t="str">
        <f>IF(ISNUMBER(T26),_aDemora+T26*(_bDemora-_aDemora),"-")</f>
        <v>-</v>
      </c>
      <c r="W26" s="119" t="str">
        <f t="shared" si="10"/>
        <v>-</v>
      </c>
      <c r="Y26" s="117" t="str">
        <f>IF(ISNUMBER(Z26),_I,
    IF(ISNUMBER(AC26),_M,
       IF(OR($B26=_FA2,$B26=_FM2),_L,Y25)))</f>
        <v>Libre</v>
      </c>
      <c r="Z26" s="112"/>
      <c r="AA26" s="112" t="str">
        <f>IF(ISNUMBER(Z26),_aAtencion+Z26*(_bAtencion-_aAtencion),"-")</f>
        <v>-</v>
      </c>
      <c r="AB26" s="118" t="str">
        <f t="shared" si="11"/>
        <v>-</v>
      </c>
      <c r="AC26" s="14"/>
      <c r="AD26" s="114" t="str">
        <f t="shared" si="12"/>
        <v>-</v>
      </c>
      <c r="AE26" s="114"/>
      <c r="AF26" s="119" t="str">
        <f t="shared" si="13"/>
        <v>-</v>
      </c>
      <c r="AH26" s="117" t="str">
        <f>IF(ISNUMBER(AI26),_I,
    IF(ISNUMBER(AL26),_M,
       IF(OR($B26=_FA3,$B26=_FM3),_L,AH25)))</f>
        <v>Libre</v>
      </c>
      <c r="AI26" s="112"/>
      <c r="AJ26" s="112" t="str">
        <f>IF(ISNUMBER(AI26),_aAtencion+AI26*(_bAtencion-_aAtencion),"-")</f>
        <v>-</v>
      </c>
      <c r="AK26" s="118" t="str">
        <f t="shared" si="14"/>
        <v/>
      </c>
      <c r="AL26" s="14"/>
      <c r="AM26" s="114" t="str">
        <f t="shared" si="15"/>
        <v>-</v>
      </c>
      <c r="AN26" s="114"/>
      <c r="AO26" s="119" t="str">
        <f t="shared" si="16"/>
        <v/>
      </c>
      <c r="AP26" s="123"/>
      <c r="AQ26" s="117" t="str">
        <f>IF(ISNUMBER(AR26),_I,
    IF(ISNUMBER(AU26),_M,
       IF(OR($B26=_FA4,$B26=_FM4),_L,AQ25)))</f>
        <v>Libre</v>
      </c>
      <c r="AR26" s="112"/>
      <c r="AS26" s="112" t="str">
        <f>IF(ISNUMBER(AR26),_aAtencion+AR26*(_bAtencion-_aAtencion),"-")</f>
        <v>-</v>
      </c>
      <c r="AT26" s="118" t="str">
        <f t="shared" si="17"/>
        <v/>
      </c>
      <c r="AU26" s="14"/>
      <c r="AV26" s="114" t="str">
        <f t="shared" si="18"/>
        <v>-</v>
      </c>
      <c r="AW26" s="114" t="str">
        <f>IF(ISNUMBER(AU26),_aDemora+AU26*(_bDemora-_aDemora),"-")</f>
        <v>-</v>
      </c>
      <c r="AX26" s="119" t="str">
        <f t="shared" si="19"/>
        <v/>
      </c>
      <c r="AY26" s="123"/>
      <c r="AZ26" s="117" t="str">
        <f>IF(ISNUMBER(BA26),_I,
    IF(ISNUMBER(BD26),_M,
       IF(OR($B26=_FA5,$B26=_FM5),_L,AZ25)))</f>
        <v>Libre</v>
      </c>
      <c r="BA26" s="112"/>
      <c r="BB26" s="112" t="str">
        <f>IF(ISNUMBER(BA26),_aAtencion+BA26*(_bAtencion-_aAtencion),"-")</f>
        <v>-</v>
      </c>
      <c r="BC26" s="118" t="str">
        <f t="shared" si="20"/>
        <v/>
      </c>
      <c r="BD26" s="14"/>
      <c r="BE26" s="114" t="str">
        <f t="shared" si="21"/>
        <v>-</v>
      </c>
      <c r="BF26" s="114" t="str">
        <f>IF(ISNUMBER(BD26),_aDemora+BD26*(_bDemora-_aDemora),"-")</f>
        <v>-</v>
      </c>
      <c r="BG26" s="119" t="str">
        <f t="shared" si="22"/>
        <v/>
      </c>
      <c r="BH26" s="123"/>
      <c r="BI26" s="124" t="str">
        <f>IFERROR(__xludf.DUMMYFUNCTION("IF(AND(L25&gt;6, B26=_LA),
    IF(BI25=""-"", (C26+30), BI25 &amp; "";"" &amp; (C26+30)),
    IFERROR(
             IF(C26=INDEX(SPLIT(BI25, "";""), 1), INDEX(SPLIT(BI25, "";""), 2), BI25),
             ""-"")
)"),"-")</f>
        <v>-</v>
      </c>
      <c r="BJ26" s="125" t="str">
        <f t="array" ref="BJ26">IF(BJ25=_T_Sa,
    IF(B26&lt;&gt;_LM,_T_Sa,
        IF(P25=_L,_T_tr,_T_Es)),
 IF(BJ25=_T_Es,
    IF(B26=INDIRECT("_FA" &amp; BK25),_T_tr,BJ25),
 IF(OR(B26=_FM1,B26=_FM2,B26=_FM3,B26=_FM4),
     IF(CHOOSE(BK25+1,P25,Y25,AH25,AQ25,AZ25)=_L,_T_tr,_T_Es),
IF(B26=_FM5,_T_Sa,BJ25))))</f>
        <v>Salio</v>
      </c>
      <c r="BK26" s="126">
        <f>IF(BJ25=_T_Sa,
    IF(BJ25&lt;&gt;BJ26,1,BK25),
 IF(BJ26=_T_Sa,0, 
 IF(OR(B26=_FM1,B26=_FM2,B26=_FM3,B26=_FM4,B26=_FM5),BK25+1,BK25)))</f>
        <v>0</v>
      </c>
      <c r="BM26" s="127">
        <f>IF(AND(L25&gt;6,B26=_LA),BM25+1,BM25)</f>
        <v>0</v>
      </c>
      <c r="BN26" s="128">
        <f>IF(B26=_LA,BN25+1,BN25)</f>
        <v>2</v>
      </c>
      <c r="BO26" s="129">
        <f>IF(BJ26=_T_Es,BO25+(C26-C25),BO25)</f>
        <v>0</v>
      </c>
      <c r="BP26" s="130">
        <v>0.0</v>
      </c>
      <c r="BQ26" s="18"/>
      <c r="BR26" s="137">
        <f t="shared" si="23"/>
        <v>0</v>
      </c>
      <c r="BS26" s="12" t="str">
        <f t="shared" si="5"/>
        <v>Sin visitas</v>
      </c>
      <c r="BT26" s="132" t="str">
        <f t="shared" si="24"/>
        <v>Menos de un dia</v>
      </c>
      <c r="BU26" s="18"/>
      <c r="BV26" s="101" t="s">
        <v>102</v>
      </c>
      <c r="BW26" s="102" t="s">
        <v>102</v>
      </c>
      <c r="BX26" s="103" t="s">
        <v>100</v>
      </c>
      <c r="BY26" s="102">
        <v>1.0</v>
      </c>
      <c r="BZ26" s="103"/>
      <c r="CA26" s="102"/>
      <c r="CB26" s="104"/>
      <c r="CC26" s="105"/>
      <c r="CD26" s="104"/>
      <c r="CE26" s="105"/>
      <c r="CF26" s="103"/>
      <c r="CG26" s="133"/>
      <c r="CH26" s="18"/>
      <c r="CI26" s="18"/>
      <c r="CJ26" s="18"/>
      <c r="CK26" s="18"/>
      <c r="CL26" s="18"/>
      <c r="CM26" s="18"/>
      <c r="CN26" s="18"/>
      <c r="CO26" s="18"/>
      <c r="CP26" s="18"/>
      <c r="CQ26" s="18"/>
      <c r="CR26" s="18"/>
      <c r="CS26" s="18"/>
      <c r="CT26" s="18"/>
      <c r="CU26" s="18"/>
      <c r="CV26" s="18"/>
      <c r="CW26" s="18"/>
      <c r="CX26" s="18"/>
      <c r="CY26" s="18"/>
      <c r="CZ26" s="18"/>
      <c r="DA26" s="18"/>
      <c r="DB26" s="18"/>
      <c r="DC26" s="18"/>
      <c r="DD26" s="18"/>
      <c r="DE26" s="18"/>
      <c r="DF26" s="18"/>
      <c r="DG26" s="18"/>
      <c r="DH26" s="18"/>
      <c r="DI26" s="18"/>
      <c r="DJ26" s="18"/>
      <c r="DK26" s="18"/>
      <c r="DL26" s="18"/>
      <c r="DM26" s="18"/>
      <c r="DN26" s="18"/>
      <c r="DO26" s="18"/>
      <c r="DP26" s="18"/>
      <c r="DQ26" s="18"/>
      <c r="DR26" s="18"/>
      <c r="DS26" s="18"/>
      <c r="DT26" s="18"/>
      <c r="DU26" s="18"/>
      <c r="DV26" s="18"/>
      <c r="DW26" s="18"/>
      <c r="DX26" s="18"/>
      <c r="DY26" s="18"/>
      <c r="DZ26" s="18"/>
      <c r="EA26" s="18"/>
      <c r="EB26" s="18"/>
      <c r="EC26" s="18"/>
      <c r="ED26" s="18"/>
      <c r="EE26" s="18"/>
      <c r="EF26" s="18"/>
      <c r="EG26" s="18"/>
      <c r="EH26" s="18"/>
      <c r="EI26" s="18"/>
      <c r="EJ26" s="18"/>
      <c r="EK26" s="18"/>
      <c r="EL26" s="18"/>
      <c r="EM26" s="18"/>
      <c r="EN26" s="18"/>
      <c r="EO26" s="18"/>
      <c r="EP26" s="18"/>
      <c r="EQ26" s="18"/>
      <c r="ER26" s="18"/>
      <c r="ES26" s="18"/>
      <c r="ET26" s="18"/>
      <c r="EU26" s="18"/>
      <c r="EV26" s="18"/>
      <c r="EW26" s="18"/>
      <c r="EX26" s="18"/>
      <c r="EY26" s="18"/>
      <c r="EZ26" s="18"/>
      <c r="FA26" s="18"/>
      <c r="FB26" s="18"/>
      <c r="FC26" s="18"/>
      <c r="FD26" s="18"/>
      <c r="FE26" s="18"/>
      <c r="FF26" s="18"/>
      <c r="FG26" s="18"/>
      <c r="FH26" s="18"/>
      <c r="FI26" s="18"/>
      <c r="FJ26" s="18"/>
      <c r="FK26" s="18"/>
      <c r="FL26" s="18"/>
      <c r="FM26" s="18"/>
      <c r="FN26" s="18"/>
      <c r="FO26" s="18"/>
    </row>
    <row r="27" ht="15.75" customHeight="1">
      <c r="A27" s="109">
        <v>4.0</v>
      </c>
      <c r="B27" s="110" t="str">
        <f>IFERROR(__xludf.DUMMYFUNCTION("SWITCH(C27,F26,_LA,I26,_LM,S26,_FA1,W26,_FM1,AB26,_FA2,AF26,_FM2,AK26,_FA3,AO26,_FM3,AT26,_FA4,AX26,_FM4,BC26,_FA5,BG26,_FM5,INDEX(SPLIT(BI26, "";""), 1),_LA)"),"Llegada alumno")</f>
        <v>Llegada alumno</v>
      </c>
      <c r="C27" s="134">
        <f>IFERROR(__xludf.DUMMYFUNCTION("MIN(F26,I26,S26,W26,AB26,AF26,AK26,AO26,AT26,AX26,BC26,BG26,INDEX(SPLIT(BI26, "";""), 1))"),9.98)</f>
        <v>9.98</v>
      </c>
      <c r="D27" s="112">
        <v>0.7175247788072254</v>
      </c>
      <c r="E27" s="112">
        <f>IF(ISNUMBER(D27),-_media*LN(1-D27),"-")</f>
        <v>6.320822224</v>
      </c>
      <c r="F27" s="112">
        <f t="shared" si="6"/>
        <v>16.3</v>
      </c>
      <c r="G27" s="14"/>
      <c r="H27" s="114" t="str">
        <f>IF(ISNUMBER(G27),_a+G27*(_b-_a),"-")</f>
        <v>-</v>
      </c>
      <c r="I27" s="115">
        <f t="shared" si="7"/>
        <v>57.36</v>
      </c>
      <c r="K27" s="18"/>
      <c r="L27" s="110">
        <f t="array" ref="L27">IF(AND(B27=_LA, P26&lt;&gt;_L, Y26&lt;&gt;_L, AH26&lt;&gt;_L, AQ26&lt;&gt;_L, AZ26&lt;&gt;_L), 
    MIN(L26+1,7),
    IFERROR(
        IF(AND(OR(B27=_FA1, B27=_FA2, B27=_FA3, B27=_FA4, B27=_FA5), INDIRECT("_FA" &amp; BK26) &lt;&gt; B27), 
           MAX(L26-1,0),
           IF(OR(B27=_FM1, B27=_FM2, B27=_FM3, B27=_FM4, B27=_FM5),MAX(L26-1,0),L26)
        ),
        L26
    )
)</f>
        <v>0</v>
      </c>
      <c r="M27" s="135">
        <v>0.33</v>
      </c>
      <c r="N27" s="85">
        <f>IFERROR(__xludf.DUMMYFUNCTION("IF(ISNUMBER(M27),INDEX(FILTER({1; 2; 3; 4; 5}, {P26; Y26; AH26; AQ26; AZ26}=""Libre""), ROUNDUP(M27 * COUNTIF({P26; Y26; AH26; AQ26; AZ26}, ""Libre""), 0)), ""-"")"),3.0)</f>
        <v>3</v>
      </c>
      <c r="P27" s="117" t="str">
        <f>IF(ISNUMBER(Q27),_I,
    IF(ISNUMBER(T27),_M,
       IF(OR($B27=_FA1,$B27=_FM1),_L,P26)))</f>
        <v>Inscribiendo</v>
      </c>
      <c r="Q27" s="112"/>
      <c r="R27" s="112" t="str">
        <f>IF(ISNUMBER(Q27),_aAtencion+Q27*(_bAtencion-_aAtencion),"-")</f>
        <v>-</v>
      </c>
      <c r="S27" s="112">
        <f t="shared" si="8"/>
        <v>12.88</v>
      </c>
      <c r="T27" s="14"/>
      <c r="U27" s="114" t="str">
        <f t="shared" si="9"/>
        <v>-</v>
      </c>
      <c r="V27" s="114" t="str">
        <f>IF(ISNUMBER(T27),_aDemora+T27*(_bDemora-_aDemora),"-")</f>
        <v>-</v>
      </c>
      <c r="W27" s="119" t="str">
        <f t="shared" si="10"/>
        <v>-</v>
      </c>
      <c r="Y27" s="117" t="str">
        <f>IF(ISNUMBER(Z27),_I,
    IF(ISNUMBER(AC27),_M,
       IF(OR($B27=_FA2,$B27=_FM2),_L,Y26)))</f>
        <v>Libre</v>
      </c>
      <c r="Z27" s="112"/>
      <c r="AA27" s="112" t="str">
        <f>IF(ISNUMBER(Z27),_aAtencion+Z27*(_bAtencion-_aAtencion),"-")</f>
        <v>-</v>
      </c>
      <c r="AB27" s="118" t="str">
        <f t="shared" si="11"/>
        <v>-</v>
      </c>
      <c r="AC27" s="14"/>
      <c r="AD27" s="114" t="str">
        <f t="shared" si="12"/>
        <v>-</v>
      </c>
      <c r="AE27" s="114"/>
      <c r="AF27" s="119" t="str">
        <f t="shared" si="13"/>
        <v>-</v>
      </c>
      <c r="AH27" s="117" t="str">
        <f>IF(ISNUMBER(AI27),_I,
    IF(ISNUMBER(AL27),_M,
       IF(OR($B27=_FA3,$B27=_FM3),_L,AH26)))</f>
        <v>Inscribiendo</v>
      </c>
      <c r="AI27" s="112">
        <v>0.34268793128797537</v>
      </c>
      <c r="AJ27" s="112">
        <f>IF(ISNUMBER(AI27),_aAtencion+AI27*(_bAtencion-_aAtencion),"-")</f>
        <v>6.028063794</v>
      </c>
      <c r="AK27" s="112">
        <f t="shared" si="14"/>
        <v>16.01</v>
      </c>
      <c r="AL27" s="14"/>
      <c r="AM27" s="114" t="str">
        <f t="shared" si="15"/>
        <v>-</v>
      </c>
      <c r="AN27" s="114"/>
      <c r="AO27" s="119" t="str">
        <f t="shared" si="16"/>
        <v>-</v>
      </c>
      <c r="AP27" s="123"/>
      <c r="AQ27" s="117" t="str">
        <f>IF(ISNUMBER(AR27),_I,
    IF(ISNUMBER(AU27),_M,
       IF(OR($B27=_FA4,$B27=_FM4),_L,AQ26)))</f>
        <v>Libre</v>
      </c>
      <c r="AR27" s="112"/>
      <c r="AS27" s="112" t="str">
        <f>IF(ISNUMBER(AR27),_aAtencion+AR27*(_bAtencion-_aAtencion),"-")</f>
        <v>-</v>
      </c>
      <c r="AT27" s="118" t="str">
        <f t="shared" si="17"/>
        <v/>
      </c>
      <c r="AU27" s="14"/>
      <c r="AV27" s="114" t="str">
        <f t="shared" si="18"/>
        <v>-</v>
      </c>
      <c r="AW27" s="114" t="str">
        <f>IF(ISNUMBER(AU27),_aDemora+AU27*(_bDemora-_aDemora),"-")</f>
        <v>-</v>
      </c>
      <c r="AX27" s="119" t="str">
        <f t="shared" si="19"/>
        <v/>
      </c>
      <c r="AY27" s="123"/>
      <c r="AZ27" s="117" t="str">
        <f>IF(ISNUMBER(BA27),_I,
    IF(ISNUMBER(BD27),_M,
       IF(OR($B27=_FA5,$B27=_FM5),_L,AZ26)))</f>
        <v>Libre</v>
      </c>
      <c r="BA27" s="112"/>
      <c r="BB27" s="112" t="str">
        <f>IF(ISNUMBER(BA27),_aAtencion+BA27*(_bAtencion-_aAtencion),"-")</f>
        <v>-</v>
      </c>
      <c r="BC27" s="118" t="str">
        <f t="shared" si="20"/>
        <v/>
      </c>
      <c r="BD27" s="14"/>
      <c r="BE27" s="114" t="str">
        <f t="shared" si="21"/>
        <v>-</v>
      </c>
      <c r="BF27" s="114" t="str">
        <f>IF(ISNUMBER(BD27),_aDemora+BD27*(_bDemora-_aDemora),"-")</f>
        <v>-</v>
      </c>
      <c r="BG27" s="119" t="str">
        <f t="shared" si="22"/>
        <v/>
      </c>
      <c r="BH27" s="123"/>
      <c r="BI27" s="124" t="str">
        <f>IFERROR(__xludf.DUMMYFUNCTION("IF(AND(L26&gt;6, B27=_LA),
    IF(BI26=""-"", (C27+30), BI26 &amp; "";"" &amp; (C27+30)),
    IFERROR(
             IF(C27=INDEX(SPLIT(BI26, "";""), 1), INDEX(SPLIT(BI26, "";""), 2), BI26),
             ""-"")
)"),"-")</f>
        <v>-</v>
      </c>
      <c r="BJ27" s="125" t="str">
        <f t="array" ref="BJ27">IF(BJ26=_T_Sa,
    IF(B27&lt;&gt;_LM,_T_Sa,
        IF(P26=_L,_T_tr,_T_Es)),
 IF(BJ26=_T_Es,
    IF(B27=INDIRECT("_FA" &amp; BK26),_T_tr,BJ26),
 IF(OR(B27=_FM1,B27=_FM2,B27=_FM3,B27=_FM4),
     IF(CHOOSE(BK26+1,P26,Y26,AH26,AQ26,AZ26)=_L,_T_tr,_T_Es),
IF(B27=_FM5,_T_Sa,BJ26))))</f>
        <v>Salio</v>
      </c>
      <c r="BK27" s="126">
        <f>IF(BJ26=_T_Sa,
    IF(BJ26&lt;&gt;BJ27,1,BK26),
 IF(BJ27=_T_Sa,0, 
 IF(OR(B27=_FM1,B27=_FM2,B27=_FM3,B27=_FM4,B27=_FM5),BK26+1,BK26)))</f>
        <v>0</v>
      </c>
      <c r="BM27" s="127">
        <f>IF(AND(L26&gt;6,B27=_LA),BM26+1,BM26)</f>
        <v>0</v>
      </c>
      <c r="BN27" s="128">
        <f>IF(B27=_LA,BN26+1,BN26)</f>
        <v>3</v>
      </c>
      <c r="BO27" s="129">
        <f>IF(BJ27=_T_Es,BO26+(C27-C26),BO26)</f>
        <v>0</v>
      </c>
      <c r="BP27" s="130">
        <v>0.0</v>
      </c>
      <c r="BQ27" s="18"/>
      <c r="BR27" s="137">
        <f t="shared" si="23"/>
        <v>0</v>
      </c>
      <c r="BS27" s="12" t="str">
        <f t="shared" si="5"/>
        <v>Sin visitas</v>
      </c>
      <c r="BT27" s="132" t="str">
        <f t="shared" si="24"/>
        <v>Menos de un dia</v>
      </c>
      <c r="BV27" s="101"/>
      <c r="BW27" s="102"/>
      <c r="BX27" s="103" t="s">
        <v>100</v>
      </c>
      <c r="BY27" s="102">
        <v>1.0</v>
      </c>
      <c r="BZ27" s="103" t="s">
        <v>100</v>
      </c>
      <c r="CA27" s="102">
        <v>3.0</v>
      </c>
      <c r="CB27" s="104"/>
      <c r="CC27" s="105"/>
      <c r="CD27" s="104"/>
      <c r="CE27" s="105"/>
      <c r="CF27" s="103"/>
      <c r="CG27" s="133"/>
      <c r="CH27" s="18"/>
      <c r="CI27" s="18"/>
      <c r="CJ27" s="18"/>
      <c r="CK27" s="18"/>
      <c r="CL27" s="18"/>
      <c r="CM27" s="18"/>
      <c r="CN27" s="18"/>
      <c r="CO27" s="18"/>
      <c r="CP27" s="18"/>
      <c r="CQ27" s="18"/>
      <c r="CR27" s="18"/>
      <c r="CS27" s="18"/>
      <c r="CT27" s="18"/>
      <c r="CU27" s="18"/>
      <c r="CV27" s="18"/>
      <c r="CW27" s="18"/>
      <c r="CX27" s="18"/>
      <c r="CY27" s="18"/>
      <c r="CZ27" s="18"/>
      <c r="DA27" s="18"/>
      <c r="DB27" s="18"/>
      <c r="DC27" s="18"/>
      <c r="DD27" s="18"/>
      <c r="DE27" s="18"/>
      <c r="DF27" s="18"/>
      <c r="DG27" s="18"/>
      <c r="DH27" s="18"/>
      <c r="DI27" s="18"/>
      <c r="DJ27" s="18"/>
      <c r="DK27" s="18"/>
      <c r="DL27" s="18"/>
      <c r="DM27" s="18"/>
      <c r="DN27" s="18"/>
      <c r="DO27" s="18"/>
      <c r="DP27" s="18"/>
      <c r="DQ27" s="18"/>
      <c r="DR27" s="18"/>
      <c r="DS27" s="18"/>
      <c r="DT27" s="18"/>
      <c r="DU27" s="18"/>
      <c r="DV27" s="18"/>
      <c r="DW27" s="18"/>
      <c r="DX27" s="18"/>
      <c r="DY27" s="18"/>
      <c r="DZ27" s="18"/>
      <c r="EA27" s="18"/>
      <c r="EB27" s="18"/>
      <c r="EC27" s="18"/>
      <c r="ED27" s="18"/>
      <c r="EE27" s="18"/>
      <c r="EF27" s="18"/>
      <c r="EG27" s="18"/>
      <c r="EH27" s="18"/>
      <c r="EI27" s="18"/>
      <c r="EJ27" s="18"/>
      <c r="EK27" s="18"/>
      <c r="EL27" s="18"/>
      <c r="EM27" s="18"/>
      <c r="EN27" s="18"/>
      <c r="EO27" s="18"/>
      <c r="EP27" s="18"/>
      <c r="EQ27" s="18"/>
      <c r="ER27" s="18"/>
      <c r="ES27" s="18"/>
      <c r="ET27" s="18"/>
      <c r="EU27" s="18"/>
      <c r="EV27" s="18"/>
      <c r="EW27" s="18"/>
      <c r="EX27" s="18"/>
      <c r="EY27" s="18"/>
      <c r="EZ27" s="18"/>
      <c r="FA27" s="18"/>
      <c r="FB27" s="18"/>
      <c r="FC27" s="18"/>
      <c r="FD27" s="18"/>
      <c r="FE27" s="18"/>
      <c r="FF27" s="18"/>
      <c r="FG27" s="18"/>
      <c r="FH27" s="18"/>
      <c r="FI27" s="18"/>
      <c r="FJ27" s="18"/>
      <c r="FK27" s="18"/>
      <c r="FL27" s="18"/>
      <c r="FM27" s="18"/>
      <c r="FN27" s="18"/>
      <c r="FO27" s="18"/>
    </row>
    <row r="28" ht="15.75" customHeight="1">
      <c r="A28" s="109">
        <v>5.0</v>
      </c>
      <c r="B28" s="110" t="str">
        <f>IFERROR(__xludf.DUMMYFUNCTION("SWITCH(C28,F27,_LA,I27,_LM,S27,_FA1,W27,_FM1,AB27,_FA2,AF27,_FM2,AK27,_FA3,AO27,_FM3,AT27,_FA4,AX27,_FM4,BC27,_FA5,BG27,_FM5,INDEX(SPLIT(BI27, "";""), 1),_LA)"),"Fin atencion sv1")</f>
        <v>Fin atencion sv1</v>
      </c>
      <c r="C28" s="134">
        <f>IFERROR(__xludf.DUMMYFUNCTION("MIN(F27,I27,S27,W27,AB27,AF27,AK27,AO27,AT27,AX27,BC27,BG27,INDEX(SPLIT(BI27, "";""), 1))"),12.88)</f>
        <v>12.88</v>
      </c>
      <c r="D28" s="118"/>
      <c r="E28" s="112" t="str">
        <f>IF(ISNUMBER(D28),-_media*LN(1-D28),"-")</f>
        <v>-</v>
      </c>
      <c r="F28" s="112">
        <f t="shared" si="6"/>
        <v>16.3</v>
      </c>
      <c r="G28" s="14"/>
      <c r="H28" s="114" t="str">
        <f>IF(ISNUMBER(G28),_a+G28*(_b-_a),"-")</f>
        <v>-</v>
      </c>
      <c r="I28" s="115">
        <f t="shared" si="7"/>
        <v>57.36</v>
      </c>
      <c r="K28" s="18"/>
      <c r="L28" s="110">
        <f t="array" ref="L28">IF(AND(B28=_LA, P27&lt;&gt;_L, Y27&lt;&gt;_L, AH27&lt;&gt;_L, AQ27&lt;&gt;_L, AZ27&lt;&gt;_L), 
    MIN(L27+1,7),
    IFERROR(
        IF(AND(OR(B28=_FA1, B28=_FA2, B28=_FA3, B28=_FA4, B28=_FA5), INDIRECT("_FA" &amp; BK27) &lt;&gt; B28), 
           MAX(L27-1,0),
           IF(OR(B28=_FM1, B28=_FM2, B28=_FM3, B28=_FM4, B28=_FM5),MAX(L27-1,0),L27)
        ),
        L27
    )
)</f>
        <v>0</v>
      </c>
      <c r="M28" s="116"/>
      <c r="N28" s="85" t="str">
        <f>IFERROR(__xludf.DUMMYFUNCTION("IF(ISNUMBER(M28),INDEX(FILTER({1; 2; 3; 4; 5}, {P27; Y27; AH27; AQ27; AZ27}=""Libre""), ROUNDUP(M28 * COUNTIF({P27; Y27; AH27; AQ27; AZ27}, ""Libre""), 0)), ""-"")"),"-")</f>
        <v>-</v>
      </c>
      <c r="P28" s="117" t="str">
        <f>IF(ISNUMBER(Q28),_I,
    IF(ISNUMBER(T28),_M,
       IF(OR($B28=_FA1,$B28=_FM1),_L,P27)))</f>
        <v>Libre</v>
      </c>
      <c r="Q28" s="112"/>
      <c r="R28" s="112" t="str">
        <f>IF(ISNUMBER(Q28),_aAtencion+Q28*(_bAtencion-_aAtencion),"-")</f>
        <v>-</v>
      </c>
      <c r="S28" s="118" t="str">
        <f t="shared" si="8"/>
        <v>-</v>
      </c>
      <c r="T28" s="14"/>
      <c r="U28" s="114" t="str">
        <f t="shared" si="9"/>
        <v>-</v>
      </c>
      <c r="V28" s="114" t="str">
        <f>IF(ISNUMBER(T28),_aDemora+T28*(_bDemora-_aDemora),"-")</f>
        <v>-</v>
      </c>
      <c r="W28" s="119" t="str">
        <f t="shared" si="10"/>
        <v>-</v>
      </c>
      <c r="Y28" s="117" t="str">
        <f>IF(ISNUMBER(Z28),_I,
    IF(ISNUMBER(AC28),_M,
       IF(OR($B28=_FA2,$B28=_FM2),_L,Y27)))</f>
        <v>Libre</v>
      </c>
      <c r="Z28" s="112"/>
      <c r="AA28" s="112" t="str">
        <f>IF(ISNUMBER(Z28),_aAtencion+Z28*(_bAtencion-_aAtencion),"-")</f>
        <v>-</v>
      </c>
      <c r="AB28" s="118" t="str">
        <f t="shared" si="11"/>
        <v>-</v>
      </c>
      <c r="AC28" s="14"/>
      <c r="AD28" s="114" t="str">
        <f t="shared" si="12"/>
        <v>-</v>
      </c>
      <c r="AE28" s="114"/>
      <c r="AF28" s="119" t="str">
        <f t="shared" si="13"/>
        <v>-</v>
      </c>
      <c r="AH28" s="117" t="str">
        <f>IF(ISNUMBER(AI28),_I,
    IF(ISNUMBER(AL28),_M,
       IF(OR($B28=_FA3,$B28=_FM3),_L,AH27)))</f>
        <v>Inscribiendo</v>
      </c>
      <c r="AI28" s="112"/>
      <c r="AJ28" s="112" t="str">
        <f>IF(ISNUMBER(AI28),_aAtencion+AI28*(_bAtencion-_aAtencion),"-")</f>
        <v>-</v>
      </c>
      <c r="AK28" s="112">
        <f t="shared" si="14"/>
        <v>16.01</v>
      </c>
      <c r="AL28" s="14"/>
      <c r="AM28" s="114" t="str">
        <f t="shared" si="15"/>
        <v>-</v>
      </c>
      <c r="AN28" s="114"/>
      <c r="AO28" s="119" t="str">
        <f t="shared" si="16"/>
        <v>-</v>
      </c>
      <c r="AP28" s="123"/>
      <c r="AQ28" s="117" t="str">
        <f>IF(ISNUMBER(AR28),_I,
    IF(ISNUMBER(AU28),_M,
       IF(OR($B28=_FA4,$B28=_FM4),_L,AQ27)))</f>
        <v>Libre</v>
      </c>
      <c r="AR28" s="112"/>
      <c r="AS28" s="112" t="str">
        <f>IF(ISNUMBER(AR28),_aAtencion+AR28*(_bAtencion-_aAtencion),"-")</f>
        <v>-</v>
      </c>
      <c r="AT28" s="118" t="str">
        <f t="shared" si="17"/>
        <v/>
      </c>
      <c r="AU28" s="14"/>
      <c r="AV28" s="114" t="str">
        <f t="shared" si="18"/>
        <v>-</v>
      </c>
      <c r="AW28" s="114" t="str">
        <f>IF(ISNUMBER(AU28),_aDemora+AU28*(_bDemora-_aDemora),"-")</f>
        <v>-</v>
      </c>
      <c r="AX28" s="119" t="str">
        <f t="shared" si="19"/>
        <v/>
      </c>
      <c r="AY28" s="123"/>
      <c r="AZ28" s="117" t="str">
        <f>IF(ISNUMBER(BA28),_I,
    IF(ISNUMBER(BD28),_M,
       IF(OR($B28=_FA5,$B28=_FM5),_L,AZ27)))</f>
        <v>Libre</v>
      </c>
      <c r="BA28" s="112"/>
      <c r="BB28" s="112" t="str">
        <f>IF(ISNUMBER(BA28),_aAtencion+BA28*(_bAtencion-_aAtencion),"-")</f>
        <v>-</v>
      </c>
      <c r="BC28" s="118" t="str">
        <f t="shared" si="20"/>
        <v/>
      </c>
      <c r="BD28" s="14"/>
      <c r="BE28" s="114" t="str">
        <f t="shared" si="21"/>
        <v>-</v>
      </c>
      <c r="BF28" s="114" t="str">
        <f>IF(ISNUMBER(BD28),_aDemora+BD28*(_bDemora-_aDemora),"-")</f>
        <v>-</v>
      </c>
      <c r="BG28" s="119" t="str">
        <f t="shared" si="22"/>
        <v/>
      </c>
      <c r="BH28" s="123"/>
      <c r="BI28" s="124" t="str">
        <f>IFERROR(__xludf.DUMMYFUNCTION("IF(AND(L27&gt;6, B28=_LA),
    IF(BI27=""-"", (C28+30), BI27 &amp; "";"" &amp; (C28+30)),
    IFERROR(
             IF(C28=INDEX(SPLIT(BI27, "";""), 1), INDEX(SPLIT(BI27, "";""), 2), BI27),
             ""-"")
)"),"-")</f>
        <v>-</v>
      </c>
      <c r="BJ28" s="125" t="str">
        <f t="array" ref="BJ28">IF(BJ27=_T_Sa,
    IF(B28&lt;&gt;_LM,_T_Sa,
        IF(P27=_L,_T_tr,_T_Es)),
 IF(BJ27=_T_Es,
    IF(B28=INDIRECT("_FA" &amp; BK27),_T_tr,BJ27),
 IF(OR(B28=_FM1,B28=_FM2,B28=_FM3,B28=_FM4),
     IF(CHOOSE(BK27+1,P27,Y27,AH27,AQ27,AZ27)=_L,_T_tr,_T_Es),
IF(B28=_FM5,_T_Sa,BJ27))))</f>
        <v>Salio</v>
      </c>
      <c r="BK28" s="126">
        <f>IF(BJ27=_T_Sa,
    IF(BJ27&lt;&gt;BJ28,1,BK27),
 IF(BJ28=_T_Sa,0, 
 IF(OR(B28=_FM1,B28=_FM2,B28=_FM3,B28=_FM4,B28=_FM5),BK27+1,BK27)))</f>
        <v>0</v>
      </c>
      <c r="BM28" s="127">
        <f>IF(AND(L27&gt;6,B28=_LA),BM27+1,BM27)</f>
        <v>0</v>
      </c>
      <c r="BN28" s="128">
        <f>IF(B28=_LA,BN27+1,BN27)</f>
        <v>3</v>
      </c>
      <c r="BO28" s="129">
        <f>IF(BJ28=_T_Es,BO27+(C28-C27),BO27)</f>
        <v>0</v>
      </c>
      <c r="BP28" s="130">
        <v>0.0</v>
      </c>
      <c r="BQ28" s="18"/>
      <c r="BR28" s="137">
        <f t="shared" si="23"/>
        <v>0</v>
      </c>
      <c r="BS28" s="12" t="str">
        <f t="shared" si="5"/>
        <v>Sin visitas</v>
      </c>
      <c r="BT28" s="132" t="str">
        <f t="shared" si="24"/>
        <v>Menos de un dia</v>
      </c>
      <c r="BV28" s="101"/>
      <c r="BW28" s="102"/>
      <c r="BX28" s="103" t="s">
        <v>102</v>
      </c>
      <c r="BY28" s="102" t="s">
        <v>102</v>
      </c>
      <c r="BZ28" s="103" t="s">
        <v>100</v>
      </c>
      <c r="CA28" s="102">
        <v>3.0</v>
      </c>
      <c r="CB28" s="104"/>
      <c r="CC28" s="105"/>
      <c r="CD28" s="104"/>
      <c r="CE28" s="105"/>
      <c r="CF28" s="103"/>
      <c r="CG28" s="133"/>
      <c r="CH28" s="18"/>
      <c r="CI28" s="18"/>
      <c r="CJ28" s="18"/>
      <c r="CK28" s="18"/>
      <c r="CL28" s="18"/>
      <c r="CM28" s="18"/>
      <c r="CN28" s="18"/>
      <c r="CO28" s="18"/>
      <c r="CP28" s="18"/>
      <c r="CQ28" s="18"/>
      <c r="CR28" s="18"/>
      <c r="CS28" s="18"/>
      <c r="CT28" s="18"/>
      <c r="CU28" s="18"/>
      <c r="CV28" s="18"/>
      <c r="CW28" s="18"/>
      <c r="CX28" s="18"/>
      <c r="CY28" s="18"/>
      <c r="CZ28" s="18"/>
      <c r="DA28" s="18"/>
      <c r="DB28" s="18"/>
      <c r="DC28" s="18"/>
      <c r="DD28" s="18"/>
      <c r="DE28" s="18"/>
      <c r="DF28" s="18"/>
      <c r="DG28" s="18"/>
      <c r="DH28" s="18"/>
      <c r="DI28" s="18"/>
      <c r="DJ28" s="18"/>
      <c r="DK28" s="18"/>
      <c r="DL28" s="18"/>
      <c r="DM28" s="18"/>
      <c r="DN28" s="18"/>
      <c r="DO28" s="18"/>
      <c r="DP28" s="18"/>
      <c r="DQ28" s="18"/>
      <c r="DR28" s="18"/>
      <c r="DS28" s="18"/>
      <c r="DT28" s="18"/>
      <c r="DU28" s="18"/>
      <c r="DV28" s="18"/>
      <c r="DW28" s="18"/>
      <c r="DX28" s="18"/>
      <c r="DY28" s="18"/>
      <c r="DZ28" s="18"/>
      <c r="EA28" s="18"/>
      <c r="EB28" s="18"/>
      <c r="EC28" s="18"/>
      <c r="ED28" s="18"/>
      <c r="EE28" s="18"/>
      <c r="EF28" s="18"/>
      <c r="EG28" s="18"/>
      <c r="EH28" s="18"/>
      <c r="EI28" s="18"/>
      <c r="EJ28" s="18"/>
      <c r="EK28" s="18"/>
      <c r="EL28" s="18"/>
      <c r="EM28" s="18"/>
      <c r="EN28" s="18"/>
      <c r="EO28" s="18"/>
      <c r="EP28" s="18"/>
      <c r="EQ28" s="18"/>
      <c r="ER28" s="18"/>
      <c r="ES28" s="18"/>
      <c r="ET28" s="18"/>
      <c r="EU28" s="18"/>
      <c r="EV28" s="18"/>
      <c r="EW28" s="18"/>
      <c r="EX28" s="18"/>
      <c r="EY28" s="18"/>
      <c r="EZ28" s="18"/>
      <c r="FA28" s="18"/>
      <c r="FB28" s="18"/>
      <c r="FC28" s="18"/>
      <c r="FD28" s="18"/>
      <c r="FE28" s="18"/>
      <c r="FF28" s="18"/>
      <c r="FG28" s="18"/>
      <c r="FH28" s="18"/>
      <c r="FI28" s="18"/>
      <c r="FJ28" s="18"/>
      <c r="FK28" s="18"/>
      <c r="FL28" s="18"/>
      <c r="FM28" s="18"/>
      <c r="FN28" s="18"/>
      <c r="FO28" s="18"/>
    </row>
    <row r="29" ht="15.75" customHeight="1">
      <c r="A29" s="109">
        <v>6.0</v>
      </c>
      <c r="B29" s="110" t="str">
        <f>IFERROR(__xludf.DUMMYFUNCTION("SWITCH(C29,F28,_LA,I28,_LM,S28,_FA1,W28,_FM1,AB28,_FA2,AF28,_FM2,AK28,_FA3,AO28,_FM3,AT28,_FA4,AX28,_FM4,BC28,_FA5,BG28,_FM5,INDEX(SPLIT(BI28, "";""), 1),_LA)"),"Fin atencion sv3")</f>
        <v>Fin atencion sv3</v>
      </c>
      <c r="C29" s="134">
        <f>IFERROR(__xludf.DUMMYFUNCTION("MIN(F28,I28,S28,W28,AB28,AF28,AK28,AO28,AT28,AX28,BC28,BG28,INDEX(SPLIT(BI28, "";""), 1))"),16.01)</f>
        <v>16.01</v>
      </c>
      <c r="D29" s="118"/>
      <c r="E29" s="112" t="str">
        <f>IF(ISNUMBER(D29),-_media*LN(1-D29),"-")</f>
        <v>-</v>
      </c>
      <c r="F29" s="112">
        <f t="shared" si="6"/>
        <v>16.3</v>
      </c>
      <c r="G29" s="14"/>
      <c r="H29" s="114" t="str">
        <f>IF(ISNUMBER(G29),_a+G29*(_b-_a),"-")</f>
        <v>-</v>
      </c>
      <c r="I29" s="115">
        <f t="shared" si="7"/>
        <v>57.36</v>
      </c>
      <c r="K29" s="18"/>
      <c r="L29" s="110">
        <f t="array" ref="L29">IF(AND(B29=_LA, P28&lt;&gt;_L, Y28&lt;&gt;_L, AH28&lt;&gt;_L, AQ28&lt;&gt;_L, AZ28&lt;&gt;_L), 
    MIN(L28+1,7),
    IFERROR(
        IF(AND(OR(B29=_FA1, B29=_FA2, B29=_FA3, B29=_FA4, B29=_FA5), INDIRECT("_FA" &amp; BK28) &lt;&gt; B29), 
           MAX(L28-1,0),
           IF(OR(B29=_FM1, B29=_FM2, B29=_FM3, B29=_FM4, B29=_FM5),MAX(L28-1,0),L28)
        ),
        L28
    )
)</f>
        <v>0</v>
      </c>
      <c r="M29" s="116"/>
      <c r="N29" s="85" t="str">
        <f>IFERROR(__xludf.DUMMYFUNCTION("IF(ISNUMBER(M29),INDEX(FILTER({1; 2; 3; 4; 5}, {P28; Y28; AH28; AQ28; AZ28}=""Libre""), ROUNDUP(M29 * COUNTIF({P28; Y28; AH28; AQ28; AZ28}, ""Libre""), 0)), ""-"")"),"-")</f>
        <v>-</v>
      </c>
      <c r="P29" s="117" t="str">
        <f>IF(ISNUMBER(Q29),_I,
    IF(ISNUMBER(T29),_M,
       IF(OR($B29=_FA1,$B29=_FM1),_L,P28)))</f>
        <v>Libre</v>
      </c>
      <c r="Q29" s="112"/>
      <c r="R29" s="112" t="str">
        <f>IF(ISNUMBER(Q29),_aAtencion+Q29*(_bAtencion-_aAtencion),"-")</f>
        <v>-</v>
      </c>
      <c r="S29" s="118" t="str">
        <f t="shared" si="8"/>
        <v>-</v>
      </c>
      <c r="T29" s="14"/>
      <c r="U29" s="114" t="str">
        <f t="shared" si="9"/>
        <v>-</v>
      </c>
      <c r="V29" s="114" t="str">
        <f>IF(ISNUMBER(T29),_aDemora+T29*(_bDemora-_aDemora),"-")</f>
        <v>-</v>
      </c>
      <c r="W29" s="119" t="str">
        <f t="shared" si="10"/>
        <v>-</v>
      </c>
      <c r="Y29" s="117" t="str">
        <f>IF(ISNUMBER(Z29),_I,
    IF(ISNUMBER(AC29),_M,
       IF(OR($B29=_FA2,$B29=_FM2),_L,Y28)))</f>
        <v>Libre</v>
      </c>
      <c r="Z29" s="112"/>
      <c r="AA29" s="112" t="str">
        <f>IF(ISNUMBER(Z29),_aAtencion+Z29*(_bAtencion-_aAtencion),"-")</f>
        <v>-</v>
      </c>
      <c r="AB29" s="118" t="str">
        <f t="shared" si="11"/>
        <v>-</v>
      </c>
      <c r="AC29" s="14"/>
      <c r="AD29" s="114" t="str">
        <f t="shared" si="12"/>
        <v>-</v>
      </c>
      <c r="AE29" s="114"/>
      <c r="AF29" s="119" t="str">
        <f t="shared" si="13"/>
        <v>-</v>
      </c>
      <c r="AH29" s="117" t="str">
        <f>IF(ISNUMBER(AI29),_I,
    IF(ISNUMBER(AL29),_M,
       IF(OR($B29=_FA3,$B29=_FM3),_L,AH28)))</f>
        <v>Libre</v>
      </c>
      <c r="AI29" s="112"/>
      <c r="AJ29" s="112" t="str">
        <f>IF(ISNUMBER(AI29),_aAtencion+AI29*(_bAtencion-_aAtencion),"-")</f>
        <v>-</v>
      </c>
      <c r="AK29" s="118" t="str">
        <f t="shared" si="14"/>
        <v>-</v>
      </c>
      <c r="AL29" s="14"/>
      <c r="AM29" s="114" t="str">
        <f t="shared" si="15"/>
        <v>-</v>
      </c>
      <c r="AN29" s="114"/>
      <c r="AO29" s="119" t="str">
        <f t="shared" si="16"/>
        <v>-</v>
      </c>
      <c r="AP29" s="123"/>
      <c r="AQ29" s="117" t="str">
        <f>IF(ISNUMBER(AR29),_I,
    IF(ISNUMBER(AU29),_M,
       IF(OR($B29=_FA4,$B29=_FM4),_L,AQ28)))</f>
        <v>Libre</v>
      </c>
      <c r="AR29" s="112"/>
      <c r="AS29" s="112" t="str">
        <f>IF(ISNUMBER(AR29),_aAtencion+AR29*(_bAtencion-_aAtencion),"-")</f>
        <v>-</v>
      </c>
      <c r="AT29" s="118" t="str">
        <f t="shared" si="17"/>
        <v/>
      </c>
      <c r="AU29" s="14"/>
      <c r="AV29" s="114" t="str">
        <f t="shared" si="18"/>
        <v>-</v>
      </c>
      <c r="AW29" s="114" t="str">
        <f>IF(ISNUMBER(AU29),_aDemora+AU29*(_bDemora-_aDemora),"-")</f>
        <v>-</v>
      </c>
      <c r="AX29" s="119" t="str">
        <f t="shared" si="19"/>
        <v/>
      </c>
      <c r="AY29" s="123"/>
      <c r="AZ29" s="117" t="str">
        <f>IF(ISNUMBER(BA29),_I,
    IF(ISNUMBER(BD29),_M,
       IF(OR($B29=_FA5,$B29=_FM5),_L,AZ28)))</f>
        <v>Libre</v>
      </c>
      <c r="BA29" s="112"/>
      <c r="BB29" s="112" t="str">
        <f>IF(ISNUMBER(BA29),_aAtencion+BA29*(_bAtencion-_aAtencion),"-")</f>
        <v>-</v>
      </c>
      <c r="BC29" s="118" t="str">
        <f t="shared" si="20"/>
        <v/>
      </c>
      <c r="BD29" s="14"/>
      <c r="BE29" s="114" t="str">
        <f t="shared" si="21"/>
        <v>-</v>
      </c>
      <c r="BF29" s="114" t="str">
        <f>IF(ISNUMBER(BD29),_aDemora+BD29*(_bDemora-_aDemora),"-")</f>
        <v>-</v>
      </c>
      <c r="BG29" s="119" t="str">
        <f t="shared" si="22"/>
        <v/>
      </c>
      <c r="BH29" s="123"/>
      <c r="BI29" s="124" t="str">
        <f>IFERROR(__xludf.DUMMYFUNCTION("IF(AND(L28&gt;6, B29=_LA),
    IF(BI28=""-"", (C29+30), BI28 &amp; "";"" &amp; (C29+30)),
    IFERROR(
             IF(C29=INDEX(SPLIT(BI28, "";""), 1), INDEX(SPLIT(BI28, "";""), 2), BI28),
             ""-"")
)"),"-")</f>
        <v>-</v>
      </c>
      <c r="BJ29" s="125" t="str">
        <f t="array" ref="BJ29">IF(BJ28=_T_Sa,
    IF(B29&lt;&gt;_LM,_T_Sa,
        IF(P28=_L,_T_tr,_T_Es)),
 IF(BJ28=_T_Es,
    IF(B29=INDIRECT("_FA" &amp; BK28),_T_tr,BJ28),
 IF(OR(B29=_FM1,B29=_FM2,B29=_FM3,B29=_FM4),
     IF(CHOOSE(BK28+1,P28,Y28,AH28,AQ28,AZ28)=_L,_T_tr,_T_Es),
IF(B29=_FM5,_T_Sa,BJ28))))</f>
        <v>Salio</v>
      </c>
      <c r="BK29" s="126">
        <f>IF(BJ28=_T_Sa,
    IF(BJ28&lt;&gt;BJ29,1,BK28),
 IF(BJ29=_T_Sa,0, 
 IF(OR(B29=_FM1,B29=_FM2,B29=_FM3,B29=_FM4,B29=_FM5),BK28+1,BK28)))</f>
        <v>0</v>
      </c>
      <c r="BM29" s="127">
        <f>IF(AND(L28&gt;6,B29=_LA),BM28+1,BM28)</f>
        <v>0</v>
      </c>
      <c r="BN29" s="128">
        <f>IF(B29=_LA,BN28+1,BN28)</f>
        <v>3</v>
      </c>
      <c r="BO29" s="129">
        <f>IF(BJ29=_T_Es,BO28+(C29-C28),BO28)</f>
        <v>0</v>
      </c>
      <c r="BP29" s="130">
        <v>0.0</v>
      </c>
      <c r="BQ29" s="18"/>
      <c r="BR29" s="137">
        <f t="shared" si="23"/>
        <v>0</v>
      </c>
      <c r="BS29" s="12" t="str">
        <f t="shared" si="5"/>
        <v>Sin visitas</v>
      </c>
      <c r="BT29" s="132" t="str">
        <f t="shared" si="24"/>
        <v>Menos de un dia</v>
      </c>
      <c r="BV29" s="101"/>
      <c r="BW29" s="102"/>
      <c r="BX29" s="103"/>
      <c r="BY29" s="102"/>
      <c r="BZ29" s="103" t="s">
        <v>102</v>
      </c>
      <c r="CA29" s="102" t="s">
        <v>102</v>
      </c>
      <c r="CB29" s="104"/>
      <c r="CC29" s="105"/>
      <c r="CD29" s="104"/>
      <c r="CE29" s="105"/>
      <c r="CF29" s="103"/>
      <c r="CG29" s="133"/>
      <c r="CH29" s="18"/>
      <c r="CI29" s="18"/>
      <c r="CJ29" s="18"/>
      <c r="CK29" s="18"/>
      <c r="CL29" s="18"/>
      <c r="CM29" s="18"/>
      <c r="CN29" s="18"/>
      <c r="CO29" s="18"/>
      <c r="CP29" s="18"/>
      <c r="CQ29" s="18"/>
      <c r="CR29" s="18"/>
      <c r="CS29" s="18"/>
      <c r="CT29" s="18"/>
      <c r="CU29" s="18"/>
      <c r="CV29" s="18"/>
      <c r="CW29" s="18"/>
      <c r="CX29" s="18"/>
      <c r="CY29" s="18"/>
      <c r="CZ29" s="18"/>
      <c r="DA29" s="18"/>
      <c r="DB29" s="18"/>
      <c r="DC29" s="18"/>
      <c r="DD29" s="18"/>
      <c r="DE29" s="18"/>
      <c r="DF29" s="18"/>
      <c r="DG29" s="18"/>
      <c r="DH29" s="18"/>
      <c r="DI29" s="18"/>
      <c r="DJ29" s="18"/>
      <c r="DK29" s="18"/>
      <c r="DL29" s="18"/>
      <c r="DM29" s="18"/>
      <c r="DN29" s="18"/>
      <c r="DO29" s="18"/>
      <c r="DP29" s="18"/>
      <c r="DQ29" s="18"/>
      <c r="DR29" s="18"/>
      <c r="DS29" s="18"/>
      <c r="DT29" s="18"/>
      <c r="DU29" s="18"/>
      <c r="DV29" s="18"/>
      <c r="DW29" s="18"/>
      <c r="DX29" s="18"/>
      <c r="DY29" s="18"/>
      <c r="DZ29" s="18"/>
      <c r="EA29" s="18"/>
      <c r="EB29" s="18"/>
      <c r="EC29" s="18"/>
      <c r="ED29" s="18"/>
      <c r="EE29" s="18"/>
      <c r="EF29" s="18"/>
      <c r="EG29" s="18"/>
      <c r="EH29" s="18"/>
      <c r="EI29" s="18"/>
      <c r="EJ29" s="18"/>
      <c r="EK29" s="18"/>
      <c r="EL29" s="18"/>
      <c r="EM29" s="18"/>
      <c r="EN29" s="18"/>
      <c r="EO29" s="18"/>
      <c r="EP29" s="18"/>
      <c r="EQ29" s="18"/>
      <c r="ER29" s="18"/>
      <c r="ES29" s="18"/>
      <c r="ET29" s="18"/>
      <c r="EU29" s="18"/>
      <c r="EV29" s="18"/>
      <c r="EW29" s="18"/>
      <c r="EX29" s="18"/>
      <c r="EY29" s="18"/>
      <c r="EZ29" s="18"/>
      <c r="FA29" s="18"/>
      <c r="FB29" s="18"/>
      <c r="FC29" s="18"/>
      <c r="FD29" s="18"/>
      <c r="FE29" s="18"/>
      <c r="FF29" s="18"/>
      <c r="FG29" s="18"/>
      <c r="FH29" s="18"/>
      <c r="FI29" s="18"/>
      <c r="FJ29" s="18"/>
      <c r="FK29" s="18"/>
      <c r="FL29" s="18"/>
      <c r="FM29" s="18"/>
      <c r="FN29" s="18"/>
      <c r="FO29" s="18"/>
    </row>
    <row r="30" ht="15.75" customHeight="1">
      <c r="A30" s="109">
        <v>7.0</v>
      </c>
      <c r="B30" s="110" t="str">
        <f>IFERROR(__xludf.DUMMYFUNCTION("SWITCH(C30,F29,_LA,I29,_LM,S29,_FA1,W29,_FM1,AB29,_FA2,AF29,_FM2,AK29,_FA3,AO29,_FM3,AT29,_FA4,AX29,_FM4,BC29,_FA5,BG29,_FM5,INDEX(SPLIT(BI29, "";""), 1),_LA)"),"Llegada alumno")</f>
        <v>Llegada alumno</v>
      </c>
      <c r="C30" s="134">
        <f>IFERROR(__xludf.DUMMYFUNCTION("MIN(F29,I29,S29,W29,AB29,AF29,AK29,AO29,AT29,AX29,BC29,BG29,INDEX(SPLIT(BI29, "";""), 1))"),16.3)</f>
        <v>16.3</v>
      </c>
      <c r="D30" s="118">
        <v>0.95</v>
      </c>
      <c r="E30" s="112">
        <f>IF(ISNUMBER(D30),-_media*LN(1-D30),"-")</f>
        <v>14.97866137</v>
      </c>
      <c r="F30" s="112">
        <f t="shared" si="6"/>
        <v>31.28</v>
      </c>
      <c r="G30" s="14"/>
      <c r="H30" s="114" t="str">
        <f>IF(ISNUMBER(G30),_a+G30*(_b-_a),"-")</f>
        <v>-</v>
      </c>
      <c r="I30" s="115">
        <f t="shared" si="7"/>
        <v>57.36</v>
      </c>
      <c r="K30" s="18"/>
      <c r="L30" s="110">
        <f t="array" ref="L30">IF(AND(B30=_LA, P29&lt;&gt;_L, Y29&lt;&gt;_L, AH29&lt;&gt;_L, AQ29&lt;&gt;_L, AZ29&lt;&gt;_L), 
    MIN(L29+1,7),
    IFERROR(
        IF(AND(OR(B30=_FA1, B30=_FA2, B30=_FA3, B30=_FA4, B30=_FA5), INDIRECT("_FA" &amp; BK29) &lt;&gt; B30), 
           MAX(L29-1,0),
           IF(OR(B30=_FM1, B30=_FM2, B30=_FM3, B30=_FM4, B30=_FM5),MAX(L29-1,0),L29)
        ),
        L29
    )
)</f>
        <v>0</v>
      </c>
      <c r="M30" s="135">
        <v>0.89</v>
      </c>
      <c r="N30" s="85">
        <f>IFERROR(__xludf.DUMMYFUNCTION("IF(ISNUMBER(M30),INDEX(FILTER({1; 2; 3; 4; 5}, {P29; Y29; AH29; AQ29; AZ29}=""Libre""), ROUNDUP(M30 * COUNTIF({P29; Y29; AH29; AQ29; AZ29}, ""Libre""), 0)), ""-"")"),5.0)</f>
        <v>5</v>
      </c>
      <c r="P30" s="117" t="str">
        <f>IF(ISNUMBER(Q30),_I,
    IF(ISNUMBER(T30),_M,
       IF(OR($B30=_FA1,$B30=_FM1),_L,P29)))</f>
        <v>Libre</v>
      </c>
      <c r="Q30" s="112"/>
      <c r="R30" s="112" t="str">
        <f>IF(ISNUMBER(Q30),_aAtencion+Q30*(_bAtencion-_aAtencion),"-")</f>
        <v>-</v>
      </c>
      <c r="S30" s="118" t="str">
        <f t="shared" si="8"/>
        <v>-</v>
      </c>
      <c r="T30" s="14"/>
      <c r="U30" s="114" t="str">
        <f t="shared" si="9"/>
        <v>-</v>
      </c>
      <c r="V30" s="114" t="str">
        <f>IF(ISNUMBER(T30),_aDemora+T30*(_bDemora-_aDemora),"-")</f>
        <v>-</v>
      </c>
      <c r="W30" s="119" t="str">
        <f t="shared" si="10"/>
        <v>-</v>
      </c>
      <c r="Y30" s="117" t="str">
        <f>IF(ISNUMBER(Z30),_I,
    IF(ISNUMBER(AC30),_M,
       IF(OR($B30=_FA2,$B30=_FM2),_L,Y29)))</f>
        <v>Libre</v>
      </c>
      <c r="Z30" s="112"/>
      <c r="AA30" s="112" t="str">
        <f>IF(ISNUMBER(Z30),_aAtencion+Z30*(_bAtencion-_aAtencion),"-")</f>
        <v>-</v>
      </c>
      <c r="AB30" s="118" t="str">
        <f t="shared" si="11"/>
        <v>-</v>
      </c>
      <c r="AC30" s="14"/>
      <c r="AD30" s="114" t="str">
        <f t="shared" si="12"/>
        <v>-</v>
      </c>
      <c r="AE30" s="114"/>
      <c r="AF30" s="119" t="str">
        <f t="shared" si="13"/>
        <v>-</v>
      </c>
      <c r="AH30" s="117" t="str">
        <f>IF(ISNUMBER(AI30),_I,
    IF(ISNUMBER(AL30),_M,
       IF(OR($B30=_FA3,$B30=_FM3),_L,AH29)))</f>
        <v>Libre</v>
      </c>
      <c r="AI30" s="112"/>
      <c r="AJ30" s="112" t="str">
        <f>IF(ISNUMBER(AI30),_aAtencion+AI30*(_bAtencion-_aAtencion),"-")</f>
        <v>-</v>
      </c>
      <c r="AK30" s="118" t="str">
        <f t="shared" si="14"/>
        <v>-</v>
      </c>
      <c r="AL30" s="14"/>
      <c r="AM30" s="114" t="str">
        <f t="shared" si="15"/>
        <v>-</v>
      </c>
      <c r="AN30" s="114"/>
      <c r="AO30" s="119" t="str">
        <f t="shared" si="16"/>
        <v>-</v>
      </c>
      <c r="AP30" s="123"/>
      <c r="AQ30" s="117" t="str">
        <f>IF(ISNUMBER(AR30),_I,
    IF(ISNUMBER(AU30),_M,
       IF(OR($B30=_FA4,$B30=_FM4),_L,AQ29)))</f>
        <v>Libre</v>
      </c>
      <c r="AR30" s="112"/>
      <c r="AS30" s="112" t="str">
        <f>IF(ISNUMBER(AR30),_aAtencion+AR30*(_bAtencion-_aAtencion),"-")</f>
        <v>-</v>
      </c>
      <c r="AT30" s="118" t="str">
        <f t="shared" si="17"/>
        <v/>
      </c>
      <c r="AU30" s="14"/>
      <c r="AV30" s="114" t="str">
        <f t="shared" si="18"/>
        <v>-</v>
      </c>
      <c r="AW30" s="114" t="str">
        <f>IF(ISNUMBER(AU30),_aDemora+AU30*(_bDemora-_aDemora),"-")</f>
        <v>-</v>
      </c>
      <c r="AX30" s="119" t="str">
        <f t="shared" si="19"/>
        <v/>
      </c>
      <c r="AY30" s="123"/>
      <c r="AZ30" s="117" t="str">
        <f>IF(ISNUMBER(BA30),_I,
    IF(ISNUMBER(BD30),_M,
       IF(OR($B30=_FA5,$B30=_FM5),_L,AZ29)))</f>
        <v>Inscribiendo</v>
      </c>
      <c r="BA30" s="112">
        <v>0.94</v>
      </c>
      <c r="BB30" s="112">
        <f>IF(ISNUMBER(BA30),_aAtencion+BA30*(_bAtencion-_aAtencion),"-")</f>
        <v>7.82</v>
      </c>
      <c r="BC30" s="112">
        <f t="shared" si="20"/>
        <v>24.12</v>
      </c>
      <c r="BD30" s="14"/>
      <c r="BE30" s="114" t="str">
        <f t="shared" si="21"/>
        <v>-</v>
      </c>
      <c r="BF30" s="114" t="str">
        <f>IF(ISNUMBER(BD30),_aDemora+BD30*(_bDemora-_aDemora),"-")</f>
        <v>-</v>
      </c>
      <c r="BG30" s="119" t="str">
        <f t="shared" si="22"/>
        <v>-</v>
      </c>
      <c r="BH30" s="123"/>
      <c r="BI30" s="124" t="str">
        <f>IFERROR(__xludf.DUMMYFUNCTION("IF(AND(L29&gt;6, B30=_LA),
    IF(BI29=""-"", (C30+30), BI29 &amp; "";"" &amp; (C30+30)),
    IFERROR(
             IF(C30=INDEX(SPLIT(BI29, "";""), 1), INDEX(SPLIT(BI29, "";""), 2), BI29),
             ""-"")
)"),"-")</f>
        <v>-</v>
      </c>
      <c r="BJ30" s="125" t="str">
        <f t="array" ref="BJ30">IF(BJ29=_T_Sa,
    IF(B30&lt;&gt;_LM,_T_Sa,
        IF(P29=_L,_T_tr,_T_Es)),
 IF(BJ29=_T_Es,
    IF(B30=INDIRECT("_FA" &amp; BK29),_T_tr,BJ29),
 IF(OR(B30=_FM1,B30=_FM2,B30=_FM3,B30=_FM4),
     IF(CHOOSE(BK29+1,P29,Y29,AH29,AQ29,AZ29)=_L,_T_tr,_T_Es),
IF(B30=_FM5,_T_Sa,BJ29))))</f>
        <v>Salio</v>
      </c>
      <c r="BK30" s="126">
        <f>IF(BJ29=_T_Sa,
    IF(BJ29&lt;&gt;BJ30,1,BK29),
 IF(BJ30=_T_Sa,0, 
 IF(OR(B30=_FM1,B30=_FM2,B30=_FM3,B30=_FM4,B30=_FM5),BK29+1,BK29)))</f>
        <v>0</v>
      </c>
      <c r="BM30" s="127">
        <f>IF(AND(L29&gt;6,B30=_LA),BM29+1,BM29)</f>
        <v>0</v>
      </c>
      <c r="BN30" s="128">
        <f>IF(B30=_LA,BN29+1,BN29)</f>
        <v>4</v>
      </c>
      <c r="BO30" s="129">
        <f>IF(BJ30=_T_Es,BO29+(C30-C29),BO29)</f>
        <v>0</v>
      </c>
      <c r="BP30" s="130">
        <v>0.0</v>
      </c>
      <c r="BQ30" s="18"/>
      <c r="BR30" s="137">
        <f t="shared" si="23"/>
        <v>0</v>
      </c>
      <c r="BS30" s="12" t="str">
        <f t="shared" si="5"/>
        <v>Sin visitas</v>
      </c>
      <c r="BT30" s="132" t="str">
        <f t="shared" si="24"/>
        <v>Menos de un dia</v>
      </c>
      <c r="BV30" s="101"/>
      <c r="BW30" s="102"/>
      <c r="BX30" s="103"/>
      <c r="BY30" s="102"/>
      <c r="BZ30" s="103"/>
      <c r="CA30" s="102"/>
      <c r="CB30" s="104" t="s">
        <v>100</v>
      </c>
      <c r="CC30" s="105">
        <v>5.0</v>
      </c>
      <c r="CD30" s="104"/>
      <c r="CE30" s="105"/>
      <c r="CF30" s="103"/>
      <c r="CG30" s="133"/>
      <c r="CH30" s="18"/>
      <c r="CI30" s="18"/>
      <c r="CJ30" s="18"/>
      <c r="CK30" s="18"/>
      <c r="CL30" s="18"/>
      <c r="CM30" s="18"/>
      <c r="CN30" s="18"/>
      <c r="CO30" s="18"/>
      <c r="CP30" s="18"/>
      <c r="CQ30" s="18"/>
      <c r="CR30" s="18"/>
      <c r="CS30" s="18"/>
      <c r="CT30" s="18"/>
      <c r="CU30" s="18"/>
      <c r="CV30" s="18"/>
      <c r="CW30" s="18"/>
      <c r="CX30" s="18"/>
      <c r="CY30" s="18"/>
      <c r="CZ30" s="18"/>
      <c r="DA30" s="18"/>
      <c r="DB30" s="18"/>
      <c r="DC30" s="18"/>
      <c r="DD30" s="18"/>
      <c r="DE30" s="18"/>
      <c r="DF30" s="18"/>
      <c r="DG30" s="18"/>
      <c r="DH30" s="18"/>
      <c r="DI30" s="18"/>
      <c r="DJ30" s="18"/>
      <c r="DK30" s="18"/>
      <c r="DL30" s="18"/>
      <c r="DM30" s="18"/>
      <c r="DN30" s="18"/>
      <c r="DO30" s="18"/>
      <c r="DP30" s="18"/>
      <c r="DQ30" s="18"/>
      <c r="DR30" s="18"/>
      <c r="DS30" s="18"/>
      <c r="DT30" s="18"/>
      <c r="DU30" s="18"/>
      <c r="DV30" s="18"/>
      <c r="DW30" s="18"/>
      <c r="DX30" s="18"/>
      <c r="DY30" s="18"/>
      <c r="DZ30" s="18"/>
      <c r="EA30" s="18"/>
      <c r="EB30" s="18"/>
      <c r="EC30" s="18"/>
      <c r="ED30" s="18"/>
      <c r="EE30" s="18"/>
      <c r="EF30" s="18"/>
      <c r="EG30" s="18"/>
      <c r="EH30" s="18"/>
      <c r="EI30" s="18"/>
      <c r="EJ30" s="18"/>
      <c r="EK30" s="18"/>
      <c r="EL30" s="18"/>
      <c r="EM30" s="18"/>
      <c r="EN30" s="18"/>
      <c r="EO30" s="18"/>
      <c r="EP30" s="18"/>
      <c r="EQ30" s="18"/>
      <c r="ER30" s="18"/>
      <c r="ES30" s="18"/>
      <c r="ET30" s="18"/>
      <c r="EU30" s="18"/>
      <c r="EV30" s="18"/>
      <c r="EW30" s="18"/>
      <c r="EX30" s="18"/>
      <c r="EY30" s="18"/>
      <c r="EZ30" s="18"/>
      <c r="FA30" s="18"/>
      <c r="FB30" s="18"/>
      <c r="FC30" s="18"/>
      <c r="FD30" s="18"/>
      <c r="FE30" s="18"/>
      <c r="FF30" s="18"/>
      <c r="FG30" s="18"/>
      <c r="FH30" s="18"/>
      <c r="FI30" s="18"/>
      <c r="FJ30" s="18"/>
      <c r="FK30" s="18"/>
      <c r="FL30" s="18"/>
      <c r="FM30" s="18"/>
      <c r="FN30" s="18"/>
      <c r="FO30" s="18"/>
    </row>
    <row r="31" ht="15.75" customHeight="1">
      <c r="A31" s="109">
        <v>8.0</v>
      </c>
      <c r="B31" s="110" t="str">
        <f>IFERROR(__xludf.DUMMYFUNCTION("SWITCH(C31,F30,_LA,I30,_LM,S30,_FA1,W30,_FM1,AB30,_FA2,AF30,_FM2,AK30,_FA3,AO30,_FM3,AT30,_FA4,AX30,_FM4,BC30,_FA5,BG30,_FM5,INDEX(SPLIT(BI30, "";""), 1),_LA)"),"Fin atencion sv5")</f>
        <v>Fin atencion sv5</v>
      </c>
      <c r="C31" s="134">
        <f>IFERROR(__xludf.DUMMYFUNCTION("MIN(F30,I30,S30,W30,AB30,AF30,AK30,AO30,AT30,AX30,BC30,BG30,INDEX(SPLIT(BI30, "";""), 1))"),24.12)</f>
        <v>24.12</v>
      </c>
      <c r="D31" s="118"/>
      <c r="E31" s="112" t="str">
        <f>IF(ISNUMBER(D31),-_media*LN(1-D31),"-")</f>
        <v>-</v>
      </c>
      <c r="F31" s="112">
        <f t="shared" si="6"/>
        <v>31.28</v>
      </c>
      <c r="G31" s="14"/>
      <c r="H31" s="114" t="str">
        <f>IF(ISNUMBER(G31),_a+G31*(_b-_a),"-")</f>
        <v>-</v>
      </c>
      <c r="I31" s="115">
        <f t="shared" si="7"/>
        <v>57.36</v>
      </c>
      <c r="K31" s="18"/>
      <c r="L31" s="110">
        <f t="array" ref="L31">IF(AND(B31=_LA, P30&lt;&gt;_L, Y30&lt;&gt;_L, AH30&lt;&gt;_L, AQ30&lt;&gt;_L, AZ30&lt;&gt;_L), 
    MIN(L30+1,7),
    IFERROR(
        IF(AND(OR(B31=_FA1, B31=_FA2, B31=_FA3, B31=_FA4, B31=_FA5), INDIRECT("_FA" &amp; BK30) &lt;&gt; B31), 
           MAX(L30-1,0),
           IF(OR(B31=_FM1, B31=_FM2, B31=_FM3, B31=_FM4, B31=_FM5),MAX(L30-1,0),L30)
        ),
        L30
    )
)</f>
        <v>0</v>
      </c>
      <c r="M31" s="116"/>
      <c r="N31" s="85" t="str">
        <f>IFERROR(__xludf.DUMMYFUNCTION("IF(ISNUMBER(M31),INDEX(FILTER({1; 2; 3; 4; 5}, {P30; Y30; AH30; AQ30; AZ30}=""Libre""), ROUNDUP(M31 * COUNTIF({P30; Y30; AH30; AQ30; AZ30}, ""Libre""), 0)), ""-"")"),"-")</f>
        <v>-</v>
      </c>
      <c r="P31" s="117" t="str">
        <f>IF(ISNUMBER(Q31),_I,
    IF(ISNUMBER(T31),_M,
       IF(OR($B31=_FA1,$B31=_FM1),_L,P30)))</f>
        <v>Libre</v>
      </c>
      <c r="Q31" s="112"/>
      <c r="R31" s="112" t="str">
        <f>IF(ISNUMBER(Q31),_aAtencion+Q31*(_bAtencion-_aAtencion),"-")</f>
        <v>-</v>
      </c>
      <c r="S31" s="118" t="str">
        <f t="shared" si="8"/>
        <v>-</v>
      </c>
      <c r="T31" s="14"/>
      <c r="U31" s="114" t="str">
        <f t="shared" si="9"/>
        <v>-</v>
      </c>
      <c r="V31" s="114" t="str">
        <f>IF(ISNUMBER(T31),_aDemora+T31*(_bDemora-_aDemora),"-")</f>
        <v>-</v>
      </c>
      <c r="W31" s="119" t="str">
        <f t="shared" si="10"/>
        <v>-</v>
      </c>
      <c r="Y31" s="117" t="str">
        <f>IF(ISNUMBER(Z31),_I,
    IF(ISNUMBER(AC31),_M,
       IF(OR($B31=_FA2,$B31=_FM2),_L,Y30)))</f>
        <v>Libre</v>
      </c>
      <c r="Z31" s="112"/>
      <c r="AA31" s="112" t="str">
        <f>IF(ISNUMBER(Z31),_aAtencion+Z31*(_bAtencion-_aAtencion),"-")</f>
        <v>-</v>
      </c>
      <c r="AB31" s="118" t="str">
        <f t="shared" si="11"/>
        <v>-</v>
      </c>
      <c r="AC31" s="14"/>
      <c r="AD31" s="114" t="str">
        <f t="shared" si="12"/>
        <v>-</v>
      </c>
      <c r="AE31" s="114"/>
      <c r="AF31" s="119" t="str">
        <f t="shared" si="13"/>
        <v>-</v>
      </c>
      <c r="AH31" s="117" t="str">
        <f>IF(ISNUMBER(AI31),_I,
    IF(ISNUMBER(AL31),_M,
       IF(OR($B31=_FA3,$B31=_FM3),_L,AH30)))</f>
        <v>Libre</v>
      </c>
      <c r="AI31" s="112"/>
      <c r="AJ31" s="112" t="str">
        <f>IF(ISNUMBER(AI31),_aAtencion+AI31*(_bAtencion-_aAtencion),"-")</f>
        <v>-</v>
      </c>
      <c r="AK31" s="118" t="str">
        <f t="shared" si="14"/>
        <v>-</v>
      </c>
      <c r="AL31" s="14"/>
      <c r="AM31" s="114" t="str">
        <f t="shared" si="15"/>
        <v>-</v>
      </c>
      <c r="AN31" s="114"/>
      <c r="AO31" s="119" t="str">
        <f t="shared" si="16"/>
        <v>-</v>
      </c>
      <c r="AP31" s="123"/>
      <c r="AQ31" s="117" t="str">
        <f>IF(ISNUMBER(AR31),_I,
    IF(ISNUMBER(AU31),_M,
       IF(OR($B31=_FA4,$B31=_FM4),_L,AQ30)))</f>
        <v>Libre</v>
      </c>
      <c r="AR31" s="112"/>
      <c r="AS31" s="112" t="str">
        <f>IF(ISNUMBER(AR31),_aAtencion+AR31*(_bAtencion-_aAtencion),"-")</f>
        <v>-</v>
      </c>
      <c r="AT31" s="118" t="str">
        <f t="shared" si="17"/>
        <v/>
      </c>
      <c r="AU31" s="14"/>
      <c r="AV31" s="114" t="str">
        <f t="shared" si="18"/>
        <v>-</v>
      </c>
      <c r="AW31" s="114" t="str">
        <f>IF(ISNUMBER(AU31),_aDemora+AU31*(_bDemora-_aDemora),"-")</f>
        <v>-</v>
      </c>
      <c r="AX31" s="119" t="str">
        <f t="shared" si="19"/>
        <v/>
      </c>
      <c r="AY31" s="123"/>
      <c r="AZ31" s="117" t="str">
        <f>IF(ISNUMBER(BA31),_I,
    IF(ISNUMBER(BD31),_M,
       IF(OR($B31=_FA5,$B31=_FM5),_L,AZ30)))</f>
        <v>Libre</v>
      </c>
      <c r="BA31" s="112"/>
      <c r="BB31" s="112" t="str">
        <f>IF(ISNUMBER(BA31),_aAtencion+BA31*(_bAtencion-_aAtencion),"-")</f>
        <v>-</v>
      </c>
      <c r="BC31" s="118" t="str">
        <f t="shared" si="20"/>
        <v>-</v>
      </c>
      <c r="BD31" s="14"/>
      <c r="BE31" s="114" t="str">
        <f t="shared" si="21"/>
        <v>-</v>
      </c>
      <c r="BF31" s="114" t="str">
        <f>IF(ISNUMBER(BD31),_aDemora+BD31*(_bDemora-_aDemora),"-")</f>
        <v>-</v>
      </c>
      <c r="BG31" s="119" t="str">
        <f t="shared" si="22"/>
        <v>-</v>
      </c>
      <c r="BH31" s="123"/>
      <c r="BI31" s="124" t="str">
        <f>IFERROR(__xludf.DUMMYFUNCTION("IF(AND(L30&gt;6, B31=_LA),
    IF(BI30=""-"", (C31+30), BI30 &amp; "";"" &amp; (C31+30)),
    IFERROR(
             IF(C31=INDEX(SPLIT(BI30, "";""), 1), INDEX(SPLIT(BI30, "";""), 2), BI30),
             ""-"")
)"),"-")</f>
        <v>-</v>
      </c>
      <c r="BJ31" s="125" t="str">
        <f t="array" ref="BJ31">IF(BJ30=_T_Sa,
    IF(B31&lt;&gt;_LM,_T_Sa,
        IF(P30=_L,_T_tr,_T_Es)),
 IF(BJ30=_T_Es,
    IF(B31=INDIRECT("_FA" &amp; BK30),_T_tr,BJ30),
 IF(OR(B31=_FM1,B31=_FM2,B31=_FM3,B31=_FM4),
     IF(CHOOSE(BK30+1,P30,Y30,AH30,AQ30,AZ30)=_L,_T_tr,_T_Es),
IF(B31=_FM5,_T_Sa,BJ30))))</f>
        <v>Salio</v>
      </c>
      <c r="BK31" s="126">
        <f>IF(BJ30=_T_Sa,
    IF(BJ30&lt;&gt;BJ31,1,BK30),
 IF(BJ31=_T_Sa,0, 
 IF(OR(B31=_FM1,B31=_FM2,B31=_FM3,B31=_FM4,B31=_FM5),BK30+1,BK30)))</f>
        <v>0</v>
      </c>
      <c r="BM31" s="127">
        <f>IF(AND(L30&gt;6,B31=_LA),BM30+1,BM30)</f>
        <v>0</v>
      </c>
      <c r="BN31" s="128">
        <f>IF(B31=_LA,BN30+1,BN30)</f>
        <v>4</v>
      </c>
      <c r="BO31" s="129">
        <f>IF(BJ31=_T_Es,BO30+(C31-C30),BO30)</f>
        <v>0</v>
      </c>
      <c r="BP31" s="130">
        <v>0.0</v>
      </c>
      <c r="BQ31" s="18"/>
      <c r="BR31" s="137">
        <f t="shared" si="23"/>
        <v>0</v>
      </c>
      <c r="BS31" s="12" t="str">
        <f t="shared" si="5"/>
        <v>Sin visitas</v>
      </c>
      <c r="BT31" s="132" t="str">
        <f t="shared" si="24"/>
        <v>Menos de un dia</v>
      </c>
      <c r="BV31" s="101"/>
      <c r="BW31" s="102"/>
      <c r="BX31" s="103"/>
      <c r="BY31" s="102"/>
      <c r="BZ31" s="103"/>
      <c r="CA31" s="102"/>
      <c r="CB31" s="104" t="s">
        <v>102</v>
      </c>
      <c r="CC31" s="105" t="s">
        <v>102</v>
      </c>
      <c r="CD31" s="104"/>
      <c r="CE31" s="105"/>
      <c r="CF31" s="103"/>
      <c r="CG31" s="133"/>
      <c r="CH31" s="18"/>
      <c r="CI31" s="18"/>
      <c r="CJ31" s="18"/>
      <c r="CK31" s="18"/>
      <c r="CL31" s="18"/>
      <c r="CM31" s="18"/>
      <c r="CN31" s="18"/>
      <c r="CO31" s="18"/>
      <c r="CP31" s="18"/>
      <c r="CQ31" s="18"/>
      <c r="CR31" s="18"/>
      <c r="CS31" s="18"/>
      <c r="CT31" s="18"/>
      <c r="CU31" s="18"/>
      <c r="CV31" s="18"/>
      <c r="CW31" s="18"/>
      <c r="CX31" s="18"/>
      <c r="CY31" s="18"/>
      <c r="CZ31" s="18"/>
      <c r="DA31" s="18"/>
      <c r="DB31" s="18"/>
      <c r="DC31" s="18"/>
      <c r="DD31" s="18"/>
      <c r="DE31" s="18"/>
      <c r="DF31" s="18"/>
      <c r="DG31" s="18"/>
      <c r="DH31" s="18"/>
      <c r="DI31" s="18"/>
      <c r="DJ31" s="18"/>
      <c r="DK31" s="18"/>
      <c r="DL31" s="18"/>
      <c r="DM31" s="18"/>
      <c r="DN31" s="18"/>
      <c r="DO31" s="18"/>
      <c r="DP31" s="18"/>
      <c r="DQ31" s="18"/>
      <c r="DR31" s="18"/>
      <c r="DS31" s="18"/>
      <c r="DT31" s="18"/>
      <c r="DU31" s="18"/>
      <c r="DV31" s="18"/>
      <c r="DW31" s="18"/>
      <c r="DX31" s="18"/>
      <c r="DY31" s="18"/>
      <c r="DZ31" s="18"/>
      <c r="EA31" s="18"/>
      <c r="EB31" s="18"/>
      <c r="EC31" s="18"/>
      <c r="ED31" s="18"/>
      <c r="EE31" s="18"/>
      <c r="EF31" s="18"/>
      <c r="EG31" s="18"/>
      <c r="EH31" s="18"/>
      <c r="EI31" s="18"/>
      <c r="EJ31" s="18"/>
      <c r="EK31" s="18"/>
      <c r="EL31" s="18"/>
      <c r="EM31" s="18"/>
      <c r="EN31" s="18"/>
      <c r="EO31" s="18"/>
      <c r="EP31" s="18"/>
      <c r="EQ31" s="18"/>
      <c r="ER31" s="18"/>
      <c r="ES31" s="18"/>
      <c r="ET31" s="18"/>
      <c r="EU31" s="18"/>
      <c r="EV31" s="18"/>
      <c r="EW31" s="18"/>
      <c r="EX31" s="18"/>
      <c r="EY31" s="18"/>
      <c r="EZ31" s="18"/>
      <c r="FA31" s="18"/>
      <c r="FB31" s="18"/>
      <c r="FC31" s="18"/>
      <c r="FD31" s="18"/>
      <c r="FE31" s="18"/>
      <c r="FF31" s="18"/>
      <c r="FG31" s="18"/>
      <c r="FH31" s="18"/>
      <c r="FI31" s="18"/>
      <c r="FJ31" s="18"/>
      <c r="FK31" s="18"/>
      <c r="FL31" s="18"/>
      <c r="FM31" s="18"/>
      <c r="FN31" s="18"/>
      <c r="FO31" s="18"/>
    </row>
    <row r="32" ht="15.75" customHeight="1">
      <c r="A32" s="109">
        <v>9.0</v>
      </c>
      <c r="B32" s="110" t="str">
        <f>IFERROR(__xludf.DUMMYFUNCTION("SWITCH(C32,F31,_LA,I31,_LM,S31,_FA1,W31,_FM1,AB31,_FA2,AF31,_FM2,AK31,_FA3,AO31,_FM3,AT31,_FA4,AX31,_FM4,BC31,_FA5,BG31,_FM5,INDEX(SPLIT(BI31, "";""), 1),_LA)"),"Llegada alumno")</f>
        <v>Llegada alumno</v>
      </c>
      <c r="C32" s="134">
        <f>IFERROR(__xludf.DUMMYFUNCTION("MIN(F31,I31,S31,W31,AB31,AF31,AK31,AO31,AT31,AX31,BC31,BG31,INDEX(SPLIT(BI31, "";""), 1))"),31.28)</f>
        <v>31.28</v>
      </c>
      <c r="D32" s="118">
        <v>0.84</v>
      </c>
      <c r="E32" s="112">
        <f>IF(ISNUMBER(D32),-_media*LN(1-D32),"-")</f>
        <v>9.162907319</v>
      </c>
      <c r="F32" s="112">
        <f t="shared" si="6"/>
        <v>40.44</v>
      </c>
      <c r="G32" s="14"/>
      <c r="H32" s="114" t="str">
        <f>IF(ISNUMBER(G32),_a+G32*(_b-_a),"-")</f>
        <v>-</v>
      </c>
      <c r="I32" s="115">
        <f t="shared" si="7"/>
        <v>57.36</v>
      </c>
      <c r="K32" s="18"/>
      <c r="L32" s="110">
        <f t="array" ref="L32">IF(AND(B32=_LA, P31&lt;&gt;_L, Y31&lt;&gt;_L, AH31&lt;&gt;_L, AQ31&lt;&gt;_L, AZ31&lt;&gt;_L), 
    MIN(L31+1,7),
    IFERROR(
        IF(AND(OR(B32=_FA1, B32=_FA2, B32=_FA3, B32=_FA4, B32=_FA5), INDIRECT("_FA" &amp; BK31) &lt;&gt; B32), 
           MAX(L31-1,0),
           IF(OR(B32=_FM1, B32=_FM2, B32=_FM3, B32=_FM4, B32=_FM5),MAX(L31-1,0),L31)
        ),
        L31
    )
)</f>
        <v>0</v>
      </c>
      <c r="M32" s="135">
        <v>0.13</v>
      </c>
      <c r="N32" s="85">
        <f>IFERROR(__xludf.DUMMYFUNCTION("IF(ISNUMBER(M32),INDEX(FILTER({1; 2; 3; 4; 5}, {P31; Y31; AH31; AQ31; AZ31}=""Libre""), ROUNDUP(M32 * COUNTIF({P31; Y31; AH31; AQ31; AZ31}, ""Libre""), 0)), ""-"")"),1.0)</f>
        <v>1</v>
      </c>
      <c r="P32" s="117" t="str">
        <f>IF(ISNUMBER(Q32),_I,
    IF(ISNUMBER(T32),_M,
       IF(OR($B32=_FA1,$B32=_FM1),_L,P31)))</f>
        <v>Inscribiendo</v>
      </c>
      <c r="Q32" s="112">
        <v>0.43</v>
      </c>
      <c r="R32" s="112">
        <f>IF(ISNUMBER(Q32),_aAtencion+Q32*(_bAtencion-_aAtencion),"-")</f>
        <v>6.29</v>
      </c>
      <c r="S32" s="112">
        <f t="shared" si="8"/>
        <v>37.57</v>
      </c>
      <c r="T32" s="14"/>
      <c r="U32" s="114" t="str">
        <f t="shared" si="9"/>
        <v>-</v>
      </c>
      <c r="V32" s="114" t="str">
        <f>IF(ISNUMBER(T32),_aDemora+T32*(_bDemora-_aDemora),"-")</f>
        <v>-</v>
      </c>
      <c r="W32" s="119" t="str">
        <f t="shared" si="10"/>
        <v>-</v>
      </c>
      <c r="Y32" s="117" t="str">
        <f>IF(ISNUMBER(Z32),_I,
    IF(ISNUMBER(AC32),_M,
       IF(OR($B32=_FA2,$B32=_FM2),_L,Y31)))</f>
        <v>Libre</v>
      </c>
      <c r="Z32" s="112"/>
      <c r="AA32" s="112" t="str">
        <f>IF(ISNUMBER(Z32),_aAtencion+Z32*(_bAtencion-_aAtencion),"-")</f>
        <v>-</v>
      </c>
      <c r="AB32" s="118" t="str">
        <f t="shared" si="11"/>
        <v>-</v>
      </c>
      <c r="AC32" s="14"/>
      <c r="AD32" s="114" t="str">
        <f t="shared" si="12"/>
        <v>-</v>
      </c>
      <c r="AE32" s="114"/>
      <c r="AF32" s="119" t="str">
        <f t="shared" si="13"/>
        <v>-</v>
      </c>
      <c r="AH32" s="117" t="str">
        <f>IF(ISNUMBER(AI32),_I,
    IF(ISNUMBER(AL32),_M,
       IF(OR($B32=_FA3,$B32=_FM3),_L,AH31)))</f>
        <v>Libre</v>
      </c>
      <c r="AI32" s="112"/>
      <c r="AJ32" s="112" t="str">
        <f>IF(ISNUMBER(AI32),_aAtencion+AI32*(_bAtencion-_aAtencion),"-")</f>
        <v>-</v>
      </c>
      <c r="AK32" s="118" t="str">
        <f t="shared" si="14"/>
        <v>-</v>
      </c>
      <c r="AL32" s="14"/>
      <c r="AM32" s="114" t="str">
        <f t="shared" si="15"/>
        <v>-</v>
      </c>
      <c r="AN32" s="114"/>
      <c r="AO32" s="119" t="str">
        <f t="shared" si="16"/>
        <v>-</v>
      </c>
      <c r="AP32" s="123"/>
      <c r="AQ32" s="117" t="str">
        <f>IF(ISNUMBER(AR32),_I,
    IF(ISNUMBER(AU32),_M,
       IF(OR($B32=_FA4,$B32=_FM4),_L,AQ31)))</f>
        <v>Libre</v>
      </c>
      <c r="AR32" s="112"/>
      <c r="AS32" s="112" t="str">
        <f>IF(ISNUMBER(AR32),_aAtencion+AR32*(_bAtencion-_aAtencion),"-")</f>
        <v>-</v>
      </c>
      <c r="AT32" s="118" t="str">
        <f t="shared" si="17"/>
        <v/>
      </c>
      <c r="AU32" s="14"/>
      <c r="AV32" s="114" t="str">
        <f t="shared" si="18"/>
        <v>-</v>
      </c>
      <c r="AW32" s="114" t="str">
        <f>IF(ISNUMBER(AU32),_aDemora+AU32*(_bDemora-_aDemora),"-")</f>
        <v>-</v>
      </c>
      <c r="AX32" s="119" t="str">
        <f t="shared" si="19"/>
        <v/>
      </c>
      <c r="AY32" s="123"/>
      <c r="AZ32" s="117" t="str">
        <f>IF(ISNUMBER(BA32),_I,
    IF(ISNUMBER(BD32),_M,
       IF(OR($B32=_FA5,$B32=_FM5),_L,AZ31)))</f>
        <v>Libre</v>
      </c>
      <c r="BA32" s="112"/>
      <c r="BB32" s="112" t="str">
        <f>IF(ISNUMBER(BA32),_aAtencion+BA32*(_bAtencion-_aAtencion),"-")</f>
        <v>-</v>
      </c>
      <c r="BC32" s="118" t="str">
        <f t="shared" si="20"/>
        <v>-</v>
      </c>
      <c r="BD32" s="14"/>
      <c r="BE32" s="114" t="str">
        <f t="shared" si="21"/>
        <v>-</v>
      </c>
      <c r="BF32" s="114" t="str">
        <f>IF(ISNUMBER(BD32),_aDemora+BD32*(_bDemora-_aDemora),"-")</f>
        <v>-</v>
      </c>
      <c r="BG32" s="119" t="str">
        <f t="shared" si="22"/>
        <v>-</v>
      </c>
      <c r="BH32" s="123"/>
      <c r="BI32" s="124" t="str">
        <f>IFERROR(__xludf.DUMMYFUNCTION("IF(AND(L31&gt;6, B32=_LA),
    IF(BI31=""-"", (C32+30), BI31 &amp; "";"" &amp; (C32+30)),
    IFERROR(
             IF(C32=INDEX(SPLIT(BI31, "";""), 1), INDEX(SPLIT(BI31, "";""), 2), BI31),
             ""-"")
)"),"-")</f>
        <v>-</v>
      </c>
      <c r="BJ32" s="125" t="str">
        <f t="array" ref="BJ32">IF(BJ31=_T_Sa,
    IF(B32&lt;&gt;_LM,_T_Sa,
        IF(P31=_L,_T_tr,_T_Es)),
 IF(BJ31=_T_Es,
    IF(B32=INDIRECT("_FA" &amp; BK31),_T_tr,BJ31),
 IF(OR(B32=_FM1,B32=_FM2,B32=_FM3,B32=_FM4),
     IF(CHOOSE(BK31+1,P31,Y31,AH31,AQ31,AZ31)=_L,_T_tr,_T_Es),
IF(B32=_FM5,_T_Sa,BJ31))))</f>
        <v>Salio</v>
      </c>
      <c r="BK32" s="126">
        <f>IF(BJ31=_T_Sa,
    IF(BJ31&lt;&gt;BJ32,1,BK31),
 IF(BJ32=_T_Sa,0, 
 IF(OR(B32=_FM1,B32=_FM2,B32=_FM3,B32=_FM4,B32=_FM5),BK31+1,BK31)))</f>
        <v>0</v>
      </c>
      <c r="BM32" s="127">
        <f>IF(AND(L31&gt;6,B32=_LA),BM31+1,BM31)</f>
        <v>0</v>
      </c>
      <c r="BN32" s="128">
        <f>IF(B32=_LA,BN31+1,BN31)</f>
        <v>5</v>
      </c>
      <c r="BO32" s="129">
        <f>IF(BJ32=_T_Es,BO31+(C32-C31),BO31)</f>
        <v>0</v>
      </c>
      <c r="BP32" s="130">
        <v>0.0</v>
      </c>
      <c r="BQ32" s="18"/>
      <c r="BR32" s="137">
        <f t="shared" si="23"/>
        <v>0</v>
      </c>
      <c r="BS32" s="12" t="str">
        <f t="shared" si="5"/>
        <v>Sin visitas</v>
      </c>
      <c r="BT32" s="132" t="str">
        <f t="shared" si="24"/>
        <v>Menos de un dia</v>
      </c>
      <c r="BV32" s="101"/>
      <c r="BW32" s="102"/>
      <c r="BX32" s="103"/>
      <c r="BY32" s="102"/>
      <c r="BZ32" s="103"/>
      <c r="CA32" s="102"/>
      <c r="CB32" s="104"/>
      <c r="CC32" s="105"/>
      <c r="CD32" s="104" t="s">
        <v>100</v>
      </c>
      <c r="CE32" s="105">
        <v>1.0</v>
      </c>
      <c r="CF32" s="103"/>
      <c r="CG32" s="133"/>
      <c r="CH32" s="18"/>
      <c r="CI32" s="18"/>
      <c r="CJ32" s="18"/>
      <c r="CK32" s="18"/>
      <c r="CL32" s="18"/>
      <c r="CM32" s="18"/>
      <c r="CN32" s="18"/>
      <c r="CO32" s="18"/>
      <c r="CP32" s="18"/>
      <c r="CQ32" s="18"/>
      <c r="CR32" s="18"/>
      <c r="CS32" s="18"/>
      <c r="CT32" s="18"/>
      <c r="CU32" s="18"/>
      <c r="CV32" s="18"/>
      <c r="CW32" s="18"/>
      <c r="CX32" s="18"/>
      <c r="CY32" s="18"/>
      <c r="CZ32" s="18"/>
      <c r="DA32" s="18"/>
      <c r="DB32" s="18"/>
      <c r="DC32" s="18"/>
      <c r="DD32" s="18"/>
      <c r="DE32" s="18"/>
      <c r="DF32" s="18"/>
      <c r="DG32" s="18"/>
      <c r="DH32" s="18"/>
      <c r="DI32" s="18"/>
      <c r="DJ32" s="18"/>
      <c r="DK32" s="18"/>
      <c r="DL32" s="18"/>
      <c r="DM32" s="18"/>
      <c r="DN32" s="18"/>
      <c r="DO32" s="18"/>
      <c r="DP32" s="18"/>
      <c r="DQ32" s="18"/>
      <c r="DR32" s="18"/>
      <c r="DS32" s="18"/>
      <c r="DT32" s="18"/>
      <c r="DU32" s="18"/>
      <c r="DV32" s="18"/>
      <c r="DW32" s="18"/>
      <c r="DX32" s="18"/>
      <c r="DY32" s="18"/>
      <c r="DZ32" s="18"/>
      <c r="EA32" s="18"/>
      <c r="EB32" s="18"/>
      <c r="EC32" s="18"/>
      <c r="ED32" s="18"/>
      <c r="EE32" s="18"/>
      <c r="EF32" s="18"/>
      <c r="EG32" s="18"/>
      <c r="EH32" s="18"/>
      <c r="EI32" s="18"/>
      <c r="EJ32" s="18"/>
      <c r="EK32" s="18"/>
      <c r="EL32" s="18"/>
      <c r="EM32" s="18"/>
      <c r="EN32" s="18"/>
      <c r="EO32" s="18"/>
      <c r="EP32" s="18"/>
      <c r="EQ32" s="18"/>
      <c r="ER32" s="18"/>
      <c r="ES32" s="18"/>
      <c r="ET32" s="18"/>
      <c r="EU32" s="18"/>
      <c r="EV32" s="18"/>
      <c r="EW32" s="18"/>
      <c r="EX32" s="18"/>
      <c r="EY32" s="18"/>
      <c r="EZ32" s="18"/>
      <c r="FA32" s="18"/>
      <c r="FB32" s="18"/>
      <c r="FC32" s="18"/>
      <c r="FD32" s="18"/>
      <c r="FE32" s="18"/>
      <c r="FF32" s="18"/>
      <c r="FG32" s="18"/>
      <c r="FH32" s="18"/>
      <c r="FI32" s="18"/>
      <c r="FJ32" s="18"/>
      <c r="FK32" s="18"/>
      <c r="FL32" s="18"/>
      <c r="FM32" s="18"/>
      <c r="FN32" s="18"/>
      <c r="FO32" s="18"/>
    </row>
    <row r="33" ht="15.75" customHeight="1">
      <c r="A33" s="109">
        <v>10.0</v>
      </c>
      <c r="B33" s="110" t="str">
        <f>IFERROR(__xludf.DUMMYFUNCTION("SWITCH(C33,F32,_LA,I32,_LM,S32,_FA1,W32,_FM1,AB32,_FA2,AF32,_FM2,AK32,_FA3,AO32,_FM3,AT32,_FA4,AX32,_FM4,BC32,_FA5,BG32,_FM5,INDEX(SPLIT(BI32, "";""), 1),_LA)"),"Fin atencion sv1")</f>
        <v>Fin atencion sv1</v>
      </c>
      <c r="C33" s="134">
        <f>IFERROR(__xludf.DUMMYFUNCTION("MIN(F32,I32,S32,W32,AB32,AF32,AK32,AO32,AT32,AX32,BC32,BG32,INDEX(SPLIT(BI32, "";""), 1))"),37.57)</f>
        <v>37.57</v>
      </c>
      <c r="D33" s="118"/>
      <c r="E33" s="112" t="str">
        <f>IF(ISNUMBER(D33),-_media*LN(1-D33),"-")</f>
        <v>-</v>
      </c>
      <c r="F33" s="112">
        <f t="shared" si="6"/>
        <v>40.44</v>
      </c>
      <c r="G33" s="14"/>
      <c r="H33" s="114" t="str">
        <f>IF(ISNUMBER(G33),_a+G33*(_b-_a),"-")</f>
        <v>-</v>
      </c>
      <c r="I33" s="115">
        <f t="shared" si="7"/>
        <v>57.36</v>
      </c>
      <c r="K33" s="18"/>
      <c r="L33" s="110">
        <f t="array" ref="L33">IF(AND(B33=_LA, P32&lt;&gt;_L, Y32&lt;&gt;_L, AH32&lt;&gt;_L, AQ32&lt;&gt;_L, AZ32&lt;&gt;_L), 
    MIN(L32+1,7),
    IFERROR(
        IF(AND(OR(B33=_FA1, B33=_FA2, B33=_FA3, B33=_FA4, B33=_FA5), INDIRECT("_FA" &amp; BK32) &lt;&gt; B33), 
           MAX(L32-1,0),
           IF(OR(B33=_FM1, B33=_FM2, B33=_FM3, B33=_FM4, B33=_FM5),MAX(L32-1,0),L32)
        ),
        L32
    )
)</f>
        <v>0</v>
      </c>
      <c r="M33" s="116"/>
      <c r="N33" s="85" t="str">
        <f>IFERROR(__xludf.DUMMYFUNCTION("IF(ISNUMBER(M33),INDEX(FILTER({1; 2; 3; 4; 5}, {P32; Y32; AH32; AQ32; AZ32}=""Libre""), ROUNDUP(M33 * COUNTIF({P32; Y32; AH32; AQ32; AZ32}, ""Libre""), 0)), ""-"")"),"-")</f>
        <v>-</v>
      </c>
      <c r="P33" s="117" t="str">
        <f>IF(ISNUMBER(Q33),_I,
    IF(ISNUMBER(T33),_M,
       IF(OR($B33=_FA1,$B33=_FM1),_L,P32)))</f>
        <v>Libre</v>
      </c>
      <c r="Q33" s="112"/>
      <c r="R33" s="112" t="str">
        <f>IF(ISNUMBER(Q33),_aAtencion+Q33*(_bAtencion-_aAtencion),"-")</f>
        <v>-</v>
      </c>
      <c r="S33" s="118" t="str">
        <f t="shared" si="8"/>
        <v>-</v>
      </c>
      <c r="T33" s="14"/>
      <c r="U33" s="114" t="str">
        <f t="shared" si="9"/>
        <v>-</v>
      </c>
      <c r="V33" s="114" t="str">
        <f>IF(ISNUMBER(T33),_aDemora+T33*(_bDemora-_aDemora),"-")</f>
        <v>-</v>
      </c>
      <c r="W33" s="119" t="str">
        <f t="shared" si="10"/>
        <v>-</v>
      </c>
      <c r="Y33" s="117" t="str">
        <f>IF(ISNUMBER(Z33),_I,
    IF(ISNUMBER(AC33),_M,
       IF(OR($B33=_FA2,$B33=_FM2),_L,Y32)))</f>
        <v>Libre</v>
      </c>
      <c r="Z33" s="112"/>
      <c r="AA33" s="112" t="str">
        <f>IF(ISNUMBER(Z33),_aAtencion+Z33*(_bAtencion-_aAtencion),"-")</f>
        <v>-</v>
      </c>
      <c r="AB33" s="118" t="str">
        <f t="shared" si="11"/>
        <v>-</v>
      </c>
      <c r="AC33" s="14"/>
      <c r="AD33" s="114" t="str">
        <f t="shared" si="12"/>
        <v>-</v>
      </c>
      <c r="AE33" s="114"/>
      <c r="AF33" s="119" t="str">
        <f t="shared" si="13"/>
        <v>-</v>
      </c>
      <c r="AH33" s="117" t="str">
        <f>IF(ISNUMBER(AI33),_I,
    IF(ISNUMBER(AL33),_M,
       IF(OR($B33=_FA3,$B33=_FM3),_L,AH32)))</f>
        <v>Libre</v>
      </c>
      <c r="AI33" s="112"/>
      <c r="AJ33" s="112" t="str">
        <f>IF(ISNUMBER(AI33),_aAtencion+AI33*(_bAtencion-_aAtencion),"-")</f>
        <v>-</v>
      </c>
      <c r="AK33" s="118" t="str">
        <f t="shared" si="14"/>
        <v>-</v>
      </c>
      <c r="AL33" s="14"/>
      <c r="AM33" s="114" t="str">
        <f t="shared" si="15"/>
        <v>-</v>
      </c>
      <c r="AN33" s="114"/>
      <c r="AO33" s="119" t="str">
        <f t="shared" si="16"/>
        <v>-</v>
      </c>
      <c r="AP33" s="123"/>
      <c r="AQ33" s="117" t="str">
        <f>IF(ISNUMBER(AR33),_I,
    IF(ISNUMBER(AU33),_M,
       IF(OR($B33=_FA4,$B33=_FM4),_L,AQ32)))</f>
        <v>Libre</v>
      </c>
      <c r="AR33" s="112"/>
      <c r="AS33" s="112" t="str">
        <f>IF(ISNUMBER(AR33),_aAtencion+AR33*(_bAtencion-_aAtencion),"-")</f>
        <v>-</v>
      </c>
      <c r="AT33" s="118" t="str">
        <f t="shared" si="17"/>
        <v/>
      </c>
      <c r="AU33" s="14"/>
      <c r="AV33" s="114" t="str">
        <f t="shared" si="18"/>
        <v>-</v>
      </c>
      <c r="AW33" s="114" t="str">
        <f>IF(ISNUMBER(AU33),_aDemora+AU33*(_bDemora-_aDemora),"-")</f>
        <v>-</v>
      </c>
      <c r="AX33" s="119" t="str">
        <f t="shared" si="19"/>
        <v/>
      </c>
      <c r="AY33" s="123"/>
      <c r="AZ33" s="117" t="str">
        <f>IF(ISNUMBER(BA33),_I,
    IF(ISNUMBER(BD33),_M,
       IF(OR($B33=_FA5,$B33=_FM5),_L,AZ32)))</f>
        <v>Libre</v>
      </c>
      <c r="BA33" s="112"/>
      <c r="BB33" s="112" t="str">
        <f>IF(ISNUMBER(BA33),_aAtencion+BA33*(_bAtencion-_aAtencion),"-")</f>
        <v>-</v>
      </c>
      <c r="BC33" s="118" t="str">
        <f t="shared" si="20"/>
        <v>-</v>
      </c>
      <c r="BD33" s="14"/>
      <c r="BE33" s="114" t="str">
        <f t="shared" si="21"/>
        <v>-</v>
      </c>
      <c r="BF33" s="114" t="str">
        <f>IF(ISNUMBER(BD33),_aDemora+BD33*(_bDemora-_aDemora),"-")</f>
        <v>-</v>
      </c>
      <c r="BG33" s="119" t="str">
        <f t="shared" si="22"/>
        <v>-</v>
      </c>
      <c r="BH33" s="123"/>
      <c r="BI33" s="124" t="str">
        <f>IFERROR(__xludf.DUMMYFUNCTION("IF(AND(L32&gt;6, B33=_LA),
    IF(BI32=""-"", (C33+30), BI32 &amp; "";"" &amp; (C33+30)),
    IFERROR(
             IF(C33=INDEX(SPLIT(BI32, "";""), 1), INDEX(SPLIT(BI32, "";""), 2), BI32),
             ""-"")
)"),"-")</f>
        <v>-</v>
      </c>
      <c r="BJ33" s="125" t="str">
        <f t="array" ref="BJ33">IF(BJ32=_T_Sa,
    IF(B33&lt;&gt;_LM,_T_Sa,
        IF(P32=_L,_T_tr,_T_Es)),
 IF(BJ32=_T_Es,
    IF(B33=INDIRECT("_FA" &amp; BK32),_T_tr,BJ32),
 IF(OR(B33=_FM1,B33=_FM2,B33=_FM3,B33=_FM4),
     IF(CHOOSE(BK32+1,P32,Y32,AH32,AQ32,AZ32)=_L,_T_tr,_T_Es),
IF(B33=_FM5,_T_Sa,BJ32))))</f>
        <v>Salio</v>
      </c>
      <c r="BK33" s="126">
        <f>IF(BJ32=_T_Sa,
    IF(BJ32&lt;&gt;BJ33,1,BK32),
 IF(BJ33=_T_Sa,0, 
 IF(OR(B33=_FM1,B33=_FM2,B33=_FM3,B33=_FM4,B33=_FM5),BK32+1,BK32)))</f>
        <v>0</v>
      </c>
      <c r="BM33" s="127">
        <f>IF(AND(L32&gt;6,B33=_LA),BM32+1,BM32)</f>
        <v>0</v>
      </c>
      <c r="BN33" s="128">
        <f>IF(B33=_LA,BN32+1,BN32)</f>
        <v>5</v>
      </c>
      <c r="BO33" s="129">
        <f>IF(BJ33=_T_Es,BO32+(C33-C32),BO32)</f>
        <v>0</v>
      </c>
      <c r="BP33" s="130">
        <v>0.0</v>
      </c>
      <c r="BQ33" s="18"/>
      <c r="BR33" s="137">
        <f t="shared" si="23"/>
        <v>0</v>
      </c>
      <c r="BS33" s="12" t="str">
        <f t="shared" si="5"/>
        <v>Sin visitas</v>
      </c>
      <c r="BT33" s="132" t="str">
        <f t="shared" si="24"/>
        <v>Menos de un dia</v>
      </c>
      <c r="BV33" s="101"/>
      <c r="BW33" s="102"/>
      <c r="BX33" s="103"/>
      <c r="BY33" s="102"/>
      <c r="BZ33" s="103"/>
      <c r="CA33" s="102"/>
      <c r="CB33" s="104"/>
      <c r="CC33" s="105"/>
      <c r="CD33" s="104" t="s">
        <v>102</v>
      </c>
      <c r="CE33" s="105" t="s">
        <v>102</v>
      </c>
      <c r="CF33" s="103"/>
      <c r="CG33" s="133"/>
      <c r="CH33" s="18"/>
      <c r="CI33" s="18"/>
      <c r="CJ33" s="18"/>
      <c r="CK33" s="18"/>
      <c r="CL33" s="18"/>
      <c r="CM33" s="18"/>
      <c r="CN33" s="18"/>
      <c r="CO33" s="18"/>
      <c r="CP33" s="18"/>
      <c r="CQ33" s="18"/>
      <c r="CR33" s="18"/>
      <c r="CS33" s="18"/>
      <c r="CT33" s="18"/>
      <c r="CU33" s="18"/>
      <c r="CV33" s="18"/>
      <c r="CW33" s="18"/>
      <c r="CX33" s="18"/>
      <c r="CY33" s="18"/>
      <c r="CZ33" s="18"/>
      <c r="DA33" s="18"/>
      <c r="DB33" s="18"/>
      <c r="DC33" s="18"/>
      <c r="DD33" s="18"/>
      <c r="DE33" s="18"/>
      <c r="DF33" s="18"/>
      <c r="DG33" s="18"/>
      <c r="DH33" s="18"/>
      <c r="DI33" s="18"/>
      <c r="DJ33" s="18"/>
      <c r="DK33" s="18"/>
      <c r="DL33" s="18"/>
      <c r="DM33" s="18"/>
      <c r="DN33" s="18"/>
      <c r="DO33" s="18"/>
      <c r="DP33" s="18"/>
      <c r="DQ33" s="18"/>
      <c r="DR33" s="18"/>
      <c r="DS33" s="18"/>
      <c r="DT33" s="18"/>
      <c r="DU33" s="18"/>
      <c r="DV33" s="18"/>
      <c r="DW33" s="18"/>
      <c r="DX33" s="18"/>
      <c r="DY33" s="18"/>
      <c r="DZ33" s="18"/>
      <c r="EA33" s="18"/>
      <c r="EB33" s="18"/>
      <c r="EC33" s="18"/>
      <c r="ED33" s="18"/>
      <c r="EE33" s="18"/>
      <c r="EF33" s="18"/>
      <c r="EG33" s="18"/>
      <c r="EH33" s="18"/>
      <c r="EI33" s="18"/>
      <c r="EJ33" s="18"/>
      <c r="EK33" s="18"/>
      <c r="EL33" s="18"/>
      <c r="EM33" s="18"/>
      <c r="EN33" s="18"/>
      <c r="EO33" s="18"/>
      <c r="EP33" s="18"/>
      <c r="EQ33" s="18"/>
      <c r="ER33" s="18"/>
      <c r="ES33" s="18"/>
      <c r="ET33" s="18"/>
      <c r="EU33" s="18"/>
      <c r="EV33" s="18"/>
      <c r="EW33" s="18"/>
      <c r="EX33" s="18"/>
      <c r="EY33" s="18"/>
      <c r="EZ33" s="18"/>
      <c r="FA33" s="18"/>
      <c r="FB33" s="18"/>
      <c r="FC33" s="18"/>
      <c r="FD33" s="18"/>
      <c r="FE33" s="18"/>
      <c r="FF33" s="18"/>
      <c r="FG33" s="18"/>
      <c r="FH33" s="18"/>
      <c r="FI33" s="18"/>
      <c r="FJ33" s="18"/>
      <c r="FK33" s="18"/>
      <c r="FL33" s="18"/>
      <c r="FM33" s="18"/>
      <c r="FN33" s="18"/>
      <c r="FO33" s="18"/>
    </row>
    <row r="34" ht="15.75" customHeight="1">
      <c r="A34" s="18"/>
      <c r="B34" s="110"/>
      <c r="C34" s="134"/>
      <c r="D34" s="118"/>
      <c r="E34" s="112"/>
      <c r="F34" s="112"/>
      <c r="G34" s="14"/>
      <c r="H34" s="114"/>
      <c r="I34" s="115"/>
      <c r="K34" s="18"/>
      <c r="L34" s="110"/>
      <c r="M34" s="135"/>
      <c r="N34" s="85"/>
      <c r="P34" s="117"/>
      <c r="Q34" s="112"/>
      <c r="R34" s="112"/>
      <c r="S34" s="118"/>
      <c r="T34" s="14"/>
      <c r="U34" s="114" t="str">
        <f t="shared" si="9"/>
        <v>-</v>
      </c>
      <c r="V34" s="114"/>
      <c r="W34" s="119"/>
      <c r="Y34" s="117"/>
      <c r="Z34" s="112"/>
      <c r="AA34" s="112"/>
      <c r="AB34" s="118"/>
      <c r="AC34" s="14"/>
      <c r="AD34" s="14"/>
      <c r="AE34" s="114"/>
      <c r="AF34" s="119"/>
      <c r="AH34" s="117"/>
      <c r="AI34" s="112"/>
      <c r="AJ34" s="112"/>
      <c r="AK34" s="118"/>
      <c r="AL34" s="14"/>
      <c r="AM34" s="14"/>
      <c r="AN34" s="114"/>
      <c r="AO34" s="119"/>
      <c r="AP34" s="123"/>
      <c r="AQ34" s="117"/>
      <c r="AR34" s="112"/>
      <c r="AS34" s="112"/>
      <c r="AT34" s="112"/>
      <c r="AU34" s="14"/>
      <c r="AV34" s="114"/>
      <c r="AW34" s="114"/>
      <c r="AX34" s="119"/>
      <c r="AY34" s="123"/>
      <c r="AZ34" s="117"/>
      <c r="BA34" s="112"/>
      <c r="BB34" s="112"/>
      <c r="BC34" s="118"/>
      <c r="BD34" s="14"/>
      <c r="BE34" s="114"/>
      <c r="BF34" s="114"/>
      <c r="BG34" s="119"/>
      <c r="BH34" s="123"/>
      <c r="BI34" s="124"/>
      <c r="BJ34" s="125"/>
      <c r="BK34" s="126"/>
      <c r="BM34" s="139"/>
      <c r="BN34" s="140"/>
      <c r="BO34" s="141"/>
      <c r="BP34" s="142"/>
      <c r="BQ34" s="18"/>
      <c r="BR34" s="143"/>
      <c r="BS34" s="144"/>
      <c r="BT34" s="145"/>
      <c r="BV34" s="146"/>
      <c r="BW34" s="147"/>
      <c r="BX34" s="148"/>
      <c r="BY34" s="147"/>
      <c r="BZ34" s="148"/>
      <c r="CA34" s="147"/>
      <c r="CB34" s="149"/>
      <c r="CC34" s="150"/>
      <c r="CD34" s="149"/>
      <c r="CE34" s="150"/>
      <c r="CF34" s="148"/>
      <c r="CG34" s="151"/>
      <c r="CH34" s="18"/>
      <c r="CI34" s="18"/>
      <c r="CJ34" s="18"/>
      <c r="CK34" s="18"/>
      <c r="CL34" s="18"/>
      <c r="CM34" s="18"/>
      <c r="CN34" s="18"/>
      <c r="CO34" s="18"/>
      <c r="CP34" s="18"/>
      <c r="CQ34" s="18"/>
      <c r="CR34" s="18"/>
      <c r="CS34" s="18"/>
      <c r="CT34" s="18"/>
      <c r="CU34" s="18"/>
      <c r="CV34" s="18"/>
      <c r="CW34" s="18"/>
      <c r="CX34" s="18"/>
      <c r="CY34" s="18"/>
      <c r="CZ34" s="18"/>
      <c r="DA34" s="18"/>
      <c r="DB34" s="18"/>
      <c r="DC34" s="18"/>
      <c r="DD34" s="18"/>
      <c r="DE34" s="18"/>
      <c r="DF34" s="18"/>
      <c r="DG34" s="18"/>
      <c r="DH34" s="18"/>
      <c r="DI34" s="18"/>
      <c r="DJ34" s="18"/>
      <c r="DK34" s="18"/>
      <c r="DL34" s="18"/>
      <c r="DM34" s="18"/>
      <c r="DN34" s="18"/>
      <c r="DO34" s="18"/>
      <c r="DP34" s="18"/>
      <c r="DQ34" s="18"/>
      <c r="DR34" s="18"/>
      <c r="DS34" s="18"/>
      <c r="DT34" s="18"/>
      <c r="DU34" s="18"/>
      <c r="DV34" s="18"/>
      <c r="DW34" s="18"/>
      <c r="DX34" s="18"/>
      <c r="DY34" s="18"/>
      <c r="DZ34" s="18"/>
      <c r="EA34" s="18"/>
      <c r="EB34" s="18"/>
      <c r="EC34" s="18"/>
      <c r="ED34" s="18"/>
      <c r="EE34" s="18"/>
      <c r="EF34" s="18"/>
      <c r="EG34" s="18"/>
      <c r="EH34" s="18"/>
      <c r="EI34" s="18"/>
      <c r="EJ34" s="18"/>
      <c r="EK34" s="18"/>
      <c r="EL34" s="18"/>
      <c r="EM34" s="18"/>
      <c r="EN34" s="18"/>
      <c r="EO34" s="18"/>
      <c r="EP34" s="18"/>
      <c r="EQ34" s="18"/>
      <c r="ER34" s="18"/>
      <c r="ES34" s="18"/>
      <c r="ET34" s="18"/>
      <c r="EU34" s="18"/>
      <c r="EV34" s="18"/>
      <c r="EW34" s="18"/>
      <c r="EX34" s="18"/>
      <c r="EY34" s="18"/>
      <c r="EZ34" s="18"/>
      <c r="FA34" s="18"/>
      <c r="FB34" s="18"/>
      <c r="FC34" s="18"/>
      <c r="FD34" s="18"/>
      <c r="FE34" s="18"/>
      <c r="FF34" s="18"/>
      <c r="FG34" s="18"/>
      <c r="FH34" s="18"/>
      <c r="FI34" s="18"/>
      <c r="FJ34" s="18"/>
      <c r="FK34" s="18"/>
      <c r="FL34" s="18"/>
      <c r="FM34" s="18"/>
      <c r="FN34" s="18"/>
      <c r="FO34" s="18"/>
      <c r="FP34" s="18"/>
    </row>
    <row r="35" ht="15.75" customHeight="1">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c r="AA35" s="21"/>
      <c r="AB35" s="21"/>
      <c r="AC35" s="21"/>
      <c r="AD35" s="21"/>
      <c r="AE35" s="21"/>
      <c r="AF35" s="21"/>
      <c r="AG35" s="21"/>
      <c r="AH35" s="21"/>
      <c r="AI35" s="21"/>
      <c r="AJ35" s="21"/>
      <c r="AK35" s="21"/>
      <c r="AL35" s="21"/>
      <c r="AM35" s="21"/>
      <c r="AN35" s="21"/>
      <c r="AO35" s="21"/>
      <c r="AP35" s="21"/>
      <c r="AQ35" s="21"/>
      <c r="AR35" s="21"/>
      <c r="AS35" s="21"/>
      <c r="AT35" s="21"/>
      <c r="AU35" s="21"/>
      <c r="AV35" s="21"/>
      <c r="AW35" s="21"/>
      <c r="AX35" s="21"/>
      <c r="AY35" s="21"/>
      <c r="AZ35" s="21"/>
      <c r="BA35" s="21"/>
      <c r="BB35" s="21"/>
      <c r="BC35" s="21"/>
      <c r="BD35" s="21"/>
      <c r="BE35" s="21"/>
      <c r="BF35" s="21"/>
      <c r="BG35" s="21"/>
      <c r="BH35" s="21"/>
      <c r="BI35" s="21"/>
      <c r="BJ35" s="21"/>
      <c r="BK35" s="21"/>
      <c r="BL35" s="21"/>
      <c r="BM35" s="21"/>
      <c r="BN35" s="21"/>
      <c r="BO35" s="21"/>
      <c r="BP35" s="21"/>
      <c r="BQ35" s="21"/>
      <c r="BR35" s="21"/>
      <c r="BS35" s="21"/>
      <c r="BT35" s="21"/>
      <c r="BU35" s="21"/>
      <c r="BV35" s="21"/>
      <c r="BW35" s="21"/>
      <c r="BX35" s="21"/>
      <c r="BY35" s="21"/>
      <c r="BZ35" s="21"/>
      <c r="CA35" s="21"/>
      <c r="CB35" s="21"/>
      <c r="CC35" s="21"/>
      <c r="CD35" s="21"/>
      <c r="CE35" s="21"/>
      <c r="CF35" s="21"/>
      <c r="CG35" s="21"/>
      <c r="CH35" s="21"/>
      <c r="CI35" s="21"/>
      <c r="CJ35" s="21"/>
      <c r="CK35" s="21"/>
      <c r="CL35" s="21"/>
      <c r="CM35" s="21"/>
      <c r="CN35" s="21"/>
      <c r="CO35" s="21"/>
      <c r="CP35" s="21"/>
      <c r="CQ35" s="21"/>
      <c r="CR35" s="21"/>
      <c r="CS35" s="21"/>
      <c r="CT35" s="21"/>
      <c r="CU35" s="21"/>
      <c r="CV35" s="21"/>
      <c r="CW35" s="21"/>
      <c r="CX35" s="21"/>
      <c r="CY35" s="21"/>
      <c r="CZ35" s="21"/>
      <c r="DA35" s="21"/>
      <c r="DB35" s="21"/>
      <c r="DC35" s="21"/>
      <c r="DD35" s="21"/>
      <c r="DE35" s="21"/>
      <c r="DF35" s="18"/>
      <c r="DG35" s="18"/>
      <c r="DH35" s="18"/>
      <c r="DI35" s="18"/>
      <c r="DJ35" s="18"/>
      <c r="DK35" s="18"/>
      <c r="DL35" s="18"/>
      <c r="DM35" s="18"/>
      <c r="DN35" s="18"/>
      <c r="DO35" s="18"/>
      <c r="DP35" s="18"/>
      <c r="DQ35" s="18"/>
      <c r="DR35" s="18"/>
      <c r="DS35" s="18"/>
      <c r="DT35" s="18"/>
      <c r="DU35" s="18"/>
      <c r="DV35" s="18"/>
      <c r="DW35" s="18"/>
      <c r="DX35" s="18"/>
      <c r="DY35" s="18"/>
      <c r="DZ35" s="18"/>
      <c r="EA35" s="18"/>
      <c r="EB35" s="18"/>
      <c r="EC35" s="18"/>
      <c r="ED35" s="18"/>
      <c r="EE35" s="18"/>
      <c r="EF35" s="18"/>
      <c r="EG35" s="18"/>
      <c r="EH35" s="18"/>
      <c r="EI35" s="18"/>
      <c r="EJ35" s="18"/>
      <c r="EK35" s="18"/>
      <c r="EL35" s="18"/>
      <c r="EM35" s="18"/>
      <c r="EN35" s="18"/>
      <c r="EO35" s="18"/>
      <c r="EP35" s="18"/>
      <c r="EQ35" s="18"/>
      <c r="ER35" s="18"/>
      <c r="ES35" s="18"/>
      <c r="ET35" s="18"/>
      <c r="EU35" s="18"/>
      <c r="EV35" s="18"/>
      <c r="EW35" s="18"/>
      <c r="EX35" s="18"/>
      <c r="EY35" s="18"/>
      <c r="EZ35" s="18"/>
      <c r="FA35" s="18"/>
      <c r="FB35" s="18"/>
      <c r="FC35" s="18"/>
      <c r="FD35" s="18"/>
      <c r="FE35" s="18"/>
      <c r="FF35" s="18"/>
      <c r="FG35" s="18"/>
      <c r="FH35" s="18"/>
      <c r="FI35" s="18"/>
      <c r="FJ35" s="18"/>
      <c r="FK35" s="18"/>
      <c r="FL35" s="18"/>
      <c r="FM35" s="18"/>
      <c r="FN35" s="18"/>
      <c r="FO35" s="18"/>
    </row>
    <row r="36" ht="15.75" customHeight="1">
      <c r="A36" s="21"/>
      <c r="B36" s="21"/>
      <c r="C36" s="21"/>
      <c r="D36" s="21"/>
      <c r="E36" s="21"/>
      <c r="F36" s="21"/>
      <c r="G36" s="21"/>
      <c r="H36" s="21"/>
      <c r="I36" s="21"/>
      <c r="J36" s="21"/>
      <c r="K36" s="21"/>
      <c r="L36" s="21"/>
      <c r="M36" s="21"/>
      <c r="N36" s="21"/>
      <c r="O36" s="21"/>
      <c r="P36" s="21"/>
      <c r="Q36" s="21"/>
      <c r="R36" s="21"/>
      <c r="S36" s="21"/>
      <c r="T36" s="152" t="s">
        <v>103</v>
      </c>
      <c r="U36" s="152" t="s">
        <v>104</v>
      </c>
      <c r="V36" s="152" t="s">
        <v>105</v>
      </c>
      <c r="W36" s="21"/>
      <c r="X36" s="21"/>
      <c r="Y36" s="21"/>
      <c r="Z36" s="21"/>
      <c r="AA36" s="21"/>
      <c r="AB36" s="21"/>
      <c r="AC36" s="21"/>
      <c r="AD36" s="21"/>
      <c r="AE36" s="21"/>
      <c r="AF36" s="21"/>
      <c r="AG36" s="21"/>
      <c r="AH36" s="21"/>
      <c r="AI36" s="21"/>
      <c r="AJ36" s="21"/>
      <c r="AK36" s="21"/>
      <c r="AL36" s="21"/>
      <c r="AM36" s="21"/>
      <c r="AN36" s="21"/>
      <c r="AO36" s="21"/>
      <c r="AP36" s="21"/>
      <c r="AQ36" s="21"/>
      <c r="AR36" s="21"/>
      <c r="AS36" s="21"/>
      <c r="AT36" s="21"/>
      <c r="AU36" s="21"/>
      <c r="AV36" s="21"/>
      <c r="AW36" s="21"/>
      <c r="AX36" s="21"/>
      <c r="AY36" s="21"/>
      <c r="AZ36" s="21"/>
      <c r="BA36" s="21"/>
      <c r="BB36" s="21"/>
      <c r="BC36" s="21"/>
      <c r="BD36" s="21"/>
      <c r="BE36" s="21"/>
      <c r="BF36" s="21"/>
      <c r="BG36" s="21"/>
      <c r="BH36" s="21"/>
      <c r="BI36" s="21"/>
      <c r="BJ36" s="21"/>
      <c r="BK36" s="21"/>
      <c r="BL36" s="21"/>
      <c r="BM36" s="21"/>
      <c r="BN36" s="21"/>
      <c r="BO36" s="21"/>
      <c r="BP36" s="21"/>
      <c r="BQ36" s="21"/>
      <c r="BR36" s="21"/>
      <c r="BS36" s="21"/>
      <c r="BT36" s="21"/>
      <c r="BU36" s="21"/>
      <c r="BV36" s="21"/>
      <c r="BW36" s="21"/>
      <c r="BX36" s="21"/>
      <c r="BY36" s="21"/>
      <c r="BZ36" s="21"/>
      <c r="CA36" s="21"/>
      <c r="CB36" s="21"/>
      <c r="CC36" s="21"/>
      <c r="CD36" s="21"/>
      <c r="CE36" s="21"/>
      <c r="CF36" s="21"/>
      <c r="CG36" s="21"/>
      <c r="CH36" s="21"/>
      <c r="CI36" s="21"/>
      <c r="CJ36" s="21"/>
      <c r="CK36" s="21"/>
      <c r="CL36" s="21"/>
      <c r="CM36" s="21"/>
      <c r="CN36" s="21"/>
      <c r="CO36" s="21"/>
      <c r="CP36" s="21"/>
      <c r="CQ36" s="21"/>
      <c r="CR36" s="21"/>
      <c r="CS36" s="21"/>
      <c r="CT36" s="21"/>
      <c r="CU36" s="21"/>
      <c r="CV36" s="21"/>
      <c r="CW36" s="21"/>
      <c r="CX36" s="21"/>
      <c r="CY36" s="21"/>
      <c r="CZ36" s="21"/>
      <c r="DA36" s="21"/>
      <c r="DB36" s="21"/>
      <c r="DC36" s="21"/>
      <c r="DD36" s="21"/>
      <c r="DE36" s="21"/>
      <c r="DF36" s="18"/>
      <c r="DG36" s="18"/>
      <c r="DH36" s="18"/>
      <c r="DI36" s="18"/>
      <c r="DJ36" s="18"/>
      <c r="DK36" s="18"/>
      <c r="DL36" s="18"/>
      <c r="DM36" s="18"/>
      <c r="DN36" s="18"/>
      <c r="DO36" s="18"/>
      <c r="DP36" s="18"/>
      <c r="DQ36" s="18"/>
      <c r="DR36" s="18"/>
      <c r="DS36" s="18"/>
      <c r="DT36" s="18"/>
      <c r="DU36" s="18"/>
      <c r="DV36" s="18"/>
      <c r="DW36" s="18"/>
      <c r="DX36" s="18"/>
      <c r="DY36" s="18"/>
      <c r="DZ36" s="18"/>
      <c r="EA36" s="18"/>
      <c r="EB36" s="18"/>
      <c r="EC36" s="18"/>
      <c r="ED36" s="18"/>
      <c r="EE36" s="18"/>
      <c r="EF36" s="18"/>
      <c r="EG36" s="18"/>
      <c r="EH36" s="18"/>
      <c r="EI36" s="18"/>
      <c r="EJ36" s="18"/>
      <c r="EK36" s="18"/>
      <c r="EL36" s="18"/>
      <c r="EM36" s="18"/>
      <c r="EN36" s="18"/>
      <c r="EO36" s="18"/>
      <c r="EP36" s="18"/>
      <c r="EQ36" s="18"/>
      <c r="ER36" s="18"/>
      <c r="ES36" s="18"/>
      <c r="ET36" s="18"/>
      <c r="EU36" s="18"/>
      <c r="EV36" s="18"/>
      <c r="EW36" s="18"/>
      <c r="EX36" s="18"/>
      <c r="EY36" s="18"/>
      <c r="EZ36" s="18"/>
      <c r="FA36" s="18"/>
      <c r="FB36" s="18"/>
      <c r="FC36" s="18"/>
      <c r="FD36" s="18"/>
      <c r="FE36" s="18"/>
      <c r="FF36" s="18"/>
      <c r="FG36" s="18"/>
      <c r="FH36" s="18"/>
      <c r="FI36" s="18"/>
      <c r="FJ36" s="18"/>
      <c r="FK36" s="18"/>
      <c r="FL36" s="18"/>
      <c r="FM36" s="18"/>
      <c r="FN36" s="18"/>
      <c r="FO36" s="18"/>
    </row>
    <row r="37" ht="15.75" customHeight="1">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c r="AM37" s="21"/>
      <c r="AN37" s="21"/>
      <c r="AO37" s="21"/>
      <c r="AP37" s="21"/>
      <c r="AQ37" s="21"/>
      <c r="AR37" s="21"/>
      <c r="AS37" s="21"/>
      <c r="AT37" s="21"/>
      <c r="AU37" s="21"/>
      <c r="AV37" s="21"/>
      <c r="AW37" s="21"/>
      <c r="AX37" s="21"/>
      <c r="AY37" s="21"/>
      <c r="AZ37" s="21"/>
      <c r="BA37" s="21"/>
      <c r="BB37" s="21"/>
      <c r="BC37" s="21"/>
      <c r="BD37" s="21"/>
      <c r="BE37" s="21"/>
      <c r="BF37" s="21"/>
      <c r="BG37" s="21"/>
      <c r="BH37" s="21"/>
      <c r="BI37" s="21"/>
      <c r="BJ37" s="21"/>
      <c r="BK37" s="21"/>
      <c r="BL37" s="21"/>
      <c r="BM37" s="21"/>
      <c r="BN37" s="21"/>
      <c r="BO37" s="21"/>
      <c r="BP37" s="21"/>
      <c r="BQ37" s="21"/>
      <c r="BR37" s="21"/>
      <c r="BS37" s="21"/>
      <c r="BT37" s="21"/>
      <c r="BU37" s="21"/>
      <c r="BV37" s="21"/>
      <c r="BW37" s="21"/>
      <c r="BX37" s="21"/>
      <c r="BY37" s="21"/>
      <c r="BZ37" s="21"/>
      <c r="CA37" s="21"/>
      <c r="CB37" s="21"/>
      <c r="CC37" s="21"/>
      <c r="CD37" s="21"/>
      <c r="CE37" s="21"/>
      <c r="CF37" s="21"/>
      <c r="CG37" s="21"/>
      <c r="CH37" s="21"/>
      <c r="CI37" s="21"/>
      <c r="CJ37" s="21"/>
      <c r="CK37" s="21"/>
      <c r="CL37" s="21"/>
      <c r="CM37" s="21"/>
      <c r="CN37" s="21"/>
      <c r="CO37" s="21"/>
      <c r="CP37" s="21"/>
      <c r="CQ37" s="21"/>
      <c r="CR37" s="21"/>
      <c r="CS37" s="21"/>
      <c r="CT37" s="21"/>
      <c r="CU37" s="21"/>
      <c r="CV37" s="21"/>
      <c r="CW37" s="21"/>
      <c r="CX37" s="21"/>
      <c r="CY37" s="21"/>
      <c r="CZ37" s="21"/>
      <c r="DA37" s="21"/>
      <c r="DB37" s="21"/>
      <c r="DC37" s="21"/>
      <c r="DD37" s="21"/>
      <c r="DE37" s="21"/>
      <c r="DF37" s="18"/>
      <c r="DG37" s="18"/>
      <c r="DH37" s="18"/>
      <c r="DI37" s="18"/>
      <c r="DJ37" s="18"/>
      <c r="DK37" s="18"/>
      <c r="DL37" s="18"/>
      <c r="DM37" s="18"/>
      <c r="DN37" s="18"/>
      <c r="DO37" s="18"/>
      <c r="DP37" s="18"/>
      <c r="DQ37" s="18"/>
      <c r="DR37" s="18"/>
      <c r="DS37" s="18"/>
      <c r="DT37" s="18"/>
      <c r="DU37" s="18"/>
      <c r="DV37" s="18"/>
      <c r="DW37" s="18"/>
      <c r="DX37" s="18"/>
      <c r="DY37" s="18"/>
      <c r="DZ37" s="18"/>
      <c r="EA37" s="18"/>
      <c r="EB37" s="18"/>
      <c r="EC37" s="18"/>
      <c r="ED37" s="18"/>
      <c r="EE37" s="18"/>
      <c r="EF37" s="18"/>
      <c r="EG37" s="18"/>
      <c r="EH37" s="18"/>
      <c r="EI37" s="18"/>
      <c r="EJ37" s="18"/>
      <c r="EK37" s="18"/>
      <c r="EL37" s="18"/>
      <c r="EM37" s="18"/>
      <c r="EN37" s="18"/>
      <c r="EO37" s="18"/>
      <c r="EP37" s="18"/>
      <c r="EQ37" s="18"/>
      <c r="ER37" s="18"/>
      <c r="ES37" s="18"/>
      <c r="ET37" s="18"/>
      <c r="EU37" s="18"/>
      <c r="EV37" s="18"/>
      <c r="EW37" s="18"/>
      <c r="EX37" s="18"/>
      <c r="EY37" s="18"/>
      <c r="EZ37" s="18"/>
      <c r="FA37" s="18"/>
      <c r="FB37" s="18"/>
      <c r="FC37" s="18"/>
      <c r="FD37" s="18"/>
      <c r="FE37" s="18"/>
      <c r="FF37" s="18"/>
      <c r="FG37" s="18"/>
      <c r="FH37" s="18"/>
      <c r="FI37" s="18"/>
      <c r="FJ37" s="18"/>
      <c r="FK37" s="18"/>
      <c r="FL37" s="18"/>
      <c r="FM37" s="18"/>
      <c r="FN37" s="18"/>
      <c r="FO37" s="18"/>
    </row>
    <row r="38" ht="15.75" customHeight="1">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c r="AA38" s="21"/>
      <c r="AB38" s="21"/>
      <c r="AC38" s="21"/>
      <c r="AD38" s="21"/>
      <c r="AE38" s="21"/>
      <c r="AF38" s="21"/>
      <c r="AG38" s="21"/>
      <c r="AH38" s="21"/>
      <c r="AI38" s="21"/>
      <c r="AJ38" s="21"/>
      <c r="AK38" s="21"/>
      <c r="AL38" s="21"/>
      <c r="AM38" s="21"/>
      <c r="AN38" s="21"/>
      <c r="AO38" s="21"/>
      <c r="AP38" s="21"/>
      <c r="AQ38" s="21"/>
      <c r="AR38" s="21"/>
      <c r="AS38" s="21"/>
      <c r="AT38" s="21"/>
      <c r="AU38" s="21"/>
      <c r="AV38" s="21"/>
      <c r="AW38" s="21"/>
      <c r="AX38" s="21"/>
      <c r="AY38" s="21"/>
      <c r="AZ38" s="21"/>
      <c r="BA38" s="21"/>
      <c r="BB38" s="21"/>
      <c r="BC38" s="21"/>
      <c r="BD38" s="21"/>
      <c r="BE38" s="21"/>
      <c r="BF38" s="21"/>
      <c r="BG38" s="21"/>
      <c r="BH38" s="21"/>
      <c r="BI38" s="21"/>
      <c r="BJ38" s="21"/>
      <c r="BK38" s="21"/>
      <c r="BL38" s="21"/>
      <c r="BM38" s="21"/>
      <c r="BN38" s="21"/>
      <c r="BO38" s="21"/>
      <c r="BP38" s="21"/>
      <c r="BQ38" s="21"/>
      <c r="BR38" s="21"/>
      <c r="BS38" s="21"/>
      <c r="BT38" s="21"/>
      <c r="BU38" s="21"/>
      <c r="BV38" s="21"/>
      <c r="BW38" s="21"/>
      <c r="BX38" s="21"/>
      <c r="BY38" s="21"/>
      <c r="BZ38" s="21"/>
      <c r="CA38" s="21"/>
      <c r="CB38" s="21"/>
      <c r="CC38" s="21"/>
      <c r="CD38" s="21"/>
      <c r="CE38" s="21"/>
      <c r="CF38" s="21"/>
      <c r="CG38" s="21"/>
      <c r="CH38" s="21"/>
      <c r="CI38" s="21"/>
      <c r="CJ38" s="21"/>
      <c r="CK38" s="21"/>
      <c r="CL38" s="21"/>
      <c r="CM38" s="21"/>
      <c r="CN38" s="21"/>
      <c r="CO38" s="21"/>
      <c r="CP38" s="21"/>
      <c r="CQ38" s="21"/>
      <c r="CR38" s="21"/>
      <c r="CS38" s="21"/>
      <c r="CT38" s="21"/>
      <c r="CU38" s="21"/>
      <c r="CV38" s="21"/>
      <c r="CW38" s="21"/>
      <c r="CX38" s="21"/>
      <c r="CY38" s="21"/>
      <c r="CZ38" s="21"/>
      <c r="DA38" s="21"/>
      <c r="DB38" s="21"/>
      <c r="DC38" s="21"/>
      <c r="DD38" s="21"/>
      <c r="DE38" s="21"/>
      <c r="DF38" s="18"/>
      <c r="DG38" s="18"/>
      <c r="DH38" s="18"/>
      <c r="DI38" s="18"/>
      <c r="DJ38" s="18"/>
      <c r="DK38" s="18"/>
      <c r="DL38" s="18"/>
      <c r="DM38" s="18"/>
      <c r="DN38" s="18"/>
      <c r="DO38" s="18"/>
      <c r="DP38" s="18"/>
      <c r="DQ38" s="18"/>
      <c r="DR38" s="18"/>
      <c r="DS38" s="18"/>
      <c r="DT38" s="18"/>
      <c r="DU38" s="18"/>
      <c r="DV38" s="18"/>
      <c r="DW38" s="18"/>
      <c r="DX38" s="18"/>
      <c r="DY38" s="18"/>
      <c r="DZ38" s="18"/>
      <c r="EA38" s="18"/>
      <c r="EB38" s="18"/>
      <c r="EC38" s="18"/>
      <c r="ED38" s="18"/>
      <c r="EE38" s="18"/>
      <c r="EF38" s="18"/>
      <c r="EG38" s="18"/>
      <c r="EH38" s="18"/>
      <c r="EI38" s="18"/>
      <c r="EJ38" s="18"/>
      <c r="EK38" s="18"/>
      <c r="EL38" s="18"/>
      <c r="EM38" s="18"/>
      <c r="EN38" s="18"/>
      <c r="EO38" s="18"/>
      <c r="EP38" s="18"/>
      <c r="EQ38" s="18"/>
      <c r="ER38" s="18"/>
      <c r="ES38" s="18"/>
      <c r="ET38" s="18"/>
      <c r="EU38" s="18"/>
      <c r="EV38" s="18"/>
      <c r="EW38" s="18"/>
      <c r="EX38" s="18"/>
      <c r="EY38" s="18"/>
      <c r="EZ38" s="18"/>
      <c r="FA38" s="18"/>
      <c r="FB38" s="18"/>
      <c r="FC38" s="18"/>
      <c r="FD38" s="18"/>
      <c r="FE38" s="18"/>
      <c r="FF38" s="18"/>
      <c r="FG38" s="18"/>
      <c r="FH38" s="18"/>
      <c r="FI38" s="18"/>
      <c r="FJ38" s="18"/>
      <c r="FK38" s="18"/>
      <c r="FL38" s="18"/>
      <c r="FM38" s="18"/>
      <c r="FN38" s="18"/>
      <c r="FO38" s="18"/>
    </row>
    <row r="39" ht="15.75" customHeight="1">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c r="AU39" s="21"/>
      <c r="AV39" s="21"/>
      <c r="AW39" s="21"/>
      <c r="AX39" s="21"/>
      <c r="AY39" s="21"/>
      <c r="AZ39" s="21"/>
      <c r="BA39" s="21"/>
      <c r="BB39" s="21"/>
      <c r="BC39" s="21"/>
      <c r="BD39" s="21"/>
      <c r="BE39" s="21"/>
      <c r="BF39" s="21"/>
      <c r="BG39" s="21"/>
      <c r="BH39" s="21"/>
      <c r="BI39" s="21"/>
      <c r="BJ39" s="21"/>
      <c r="BK39" s="21"/>
      <c r="BL39" s="21"/>
      <c r="BM39" s="21"/>
      <c r="BN39" s="21"/>
      <c r="BO39" s="21"/>
      <c r="BP39" s="21"/>
      <c r="BQ39" s="21"/>
      <c r="BR39" s="21"/>
      <c r="BS39" s="21"/>
      <c r="BT39" s="21"/>
      <c r="BU39" s="21"/>
      <c r="BV39" s="21"/>
      <c r="BW39" s="21"/>
      <c r="BX39" s="21"/>
      <c r="BY39" s="21"/>
      <c r="BZ39" s="21"/>
      <c r="CA39" s="21"/>
      <c r="CB39" s="21"/>
      <c r="CC39" s="21"/>
      <c r="CD39" s="21"/>
      <c r="CE39" s="21"/>
      <c r="CF39" s="21"/>
      <c r="CG39" s="21"/>
      <c r="CH39" s="21"/>
      <c r="CI39" s="21"/>
      <c r="CJ39" s="21"/>
      <c r="CK39" s="21"/>
      <c r="CL39" s="21"/>
      <c r="CM39" s="21"/>
      <c r="CN39" s="21"/>
      <c r="CO39" s="21"/>
      <c r="CP39" s="21"/>
      <c r="CQ39" s="21"/>
      <c r="CR39" s="21"/>
      <c r="CS39" s="21"/>
      <c r="CT39" s="21"/>
      <c r="CU39" s="21"/>
      <c r="CV39" s="21"/>
      <c r="CW39" s="21"/>
      <c r="CX39" s="21"/>
      <c r="CY39" s="21"/>
      <c r="CZ39" s="21"/>
      <c r="DA39" s="21"/>
      <c r="DB39" s="21"/>
      <c r="DC39" s="21"/>
      <c r="DD39" s="21"/>
      <c r="DE39" s="21"/>
      <c r="DF39" s="18"/>
      <c r="DG39" s="18"/>
      <c r="DH39" s="18"/>
      <c r="DI39" s="18"/>
      <c r="DJ39" s="18"/>
      <c r="DK39" s="18"/>
      <c r="DL39" s="18"/>
      <c r="DM39" s="18"/>
      <c r="DN39" s="18"/>
      <c r="DO39" s="18"/>
      <c r="DP39" s="18"/>
      <c r="DQ39" s="18"/>
      <c r="DR39" s="18"/>
      <c r="DS39" s="18"/>
      <c r="DT39" s="18"/>
      <c r="DU39" s="18"/>
      <c r="DV39" s="18"/>
      <c r="DW39" s="18"/>
      <c r="DX39" s="18"/>
      <c r="DY39" s="18"/>
      <c r="DZ39" s="18"/>
      <c r="EA39" s="18"/>
      <c r="EB39" s="18"/>
      <c r="EC39" s="18"/>
      <c r="ED39" s="18"/>
      <c r="EE39" s="18"/>
      <c r="EF39" s="18"/>
      <c r="EG39" s="18"/>
      <c r="EH39" s="18"/>
      <c r="EI39" s="18"/>
      <c r="EJ39" s="18"/>
      <c r="EK39" s="18"/>
      <c r="EL39" s="18"/>
      <c r="EM39" s="18"/>
      <c r="EN39" s="18"/>
      <c r="EO39" s="18"/>
      <c r="EP39" s="18"/>
      <c r="EQ39" s="18"/>
      <c r="ER39" s="18"/>
      <c r="ES39" s="18"/>
      <c r="ET39" s="18"/>
      <c r="EU39" s="18"/>
      <c r="EV39" s="18"/>
      <c r="EW39" s="18"/>
      <c r="EX39" s="18"/>
      <c r="EY39" s="18"/>
      <c r="EZ39" s="18"/>
      <c r="FA39" s="18"/>
      <c r="FB39" s="18"/>
      <c r="FC39" s="18"/>
      <c r="FD39" s="18"/>
      <c r="FE39" s="18"/>
      <c r="FF39" s="18"/>
      <c r="FG39" s="18"/>
      <c r="FH39" s="18"/>
      <c r="FI39" s="18"/>
      <c r="FJ39" s="18"/>
      <c r="FK39" s="18"/>
      <c r="FL39" s="18"/>
      <c r="FM39" s="18"/>
      <c r="FN39" s="18"/>
      <c r="FO39" s="18"/>
    </row>
    <row r="40" ht="15.75" customHeight="1">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F40" s="21"/>
      <c r="BG40" s="21"/>
      <c r="BH40" s="21"/>
      <c r="BI40" s="21"/>
      <c r="BJ40" s="21"/>
      <c r="BK40" s="21"/>
      <c r="BL40" s="21"/>
      <c r="BM40" s="21"/>
      <c r="BN40" s="21"/>
      <c r="BO40" s="21"/>
      <c r="BP40" s="21"/>
      <c r="BQ40" s="21"/>
      <c r="BR40" s="21"/>
      <c r="BS40" s="21"/>
      <c r="BT40" s="21"/>
      <c r="BU40" s="21"/>
      <c r="BV40" s="21"/>
      <c r="BW40" s="21"/>
      <c r="BX40" s="21"/>
      <c r="BY40" s="21"/>
      <c r="BZ40" s="21"/>
      <c r="CA40" s="21"/>
      <c r="CB40" s="21"/>
      <c r="CC40" s="21"/>
      <c r="CD40" s="21"/>
      <c r="CE40" s="21"/>
      <c r="CF40" s="21"/>
      <c r="CG40" s="21"/>
      <c r="CH40" s="21"/>
      <c r="CI40" s="21"/>
      <c r="CJ40" s="21"/>
      <c r="CK40" s="21"/>
      <c r="CL40" s="21"/>
      <c r="CM40" s="21"/>
      <c r="CN40" s="21"/>
      <c r="CO40" s="21"/>
      <c r="CP40" s="21"/>
      <c r="CQ40" s="21"/>
      <c r="CR40" s="21"/>
      <c r="CS40" s="21"/>
      <c r="CT40" s="21"/>
      <c r="CU40" s="21"/>
      <c r="CV40" s="21"/>
      <c r="CW40" s="21"/>
      <c r="CX40" s="21"/>
      <c r="CY40" s="21"/>
      <c r="CZ40" s="21"/>
      <c r="DA40" s="21"/>
      <c r="DB40" s="21"/>
      <c r="DC40" s="21"/>
      <c r="DD40" s="21"/>
      <c r="DE40" s="21"/>
      <c r="DF40" s="18"/>
      <c r="DG40" s="18"/>
      <c r="DH40" s="18"/>
      <c r="DI40" s="18"/>
      <c r="DJ40" s="18"/>
      <c r="DK40" s="18"/>
      <c r="DL40" s="18"/>
      <c r="DM40" s="18"/>
      <c r="DN40" s="18"/>
      <c r="DO40" s="18"/>
      <c r="DP40" s="18"/>
      <c r="DQ40" s="18"/>
      <c r="DR40" s="18"/>
      <c r="DS40" s="18"/>
      <c r="DT40" s="18"/>
      <c r="DU40" s="18"/>
      <c r="DV40" s="18"/>
      <c r="DW40" s="18"/>
      <c r="DX40" s="18"/>
      <c r="DY40" s="18"/>
      <c r="DZ40" s="18"/>
      <c r="EA40" s="18"/>
      <c r="EB40" s="18"/>
      <c r="EC40" s="18"/>
      <c r="ED40" s="18"/>
      <c r="EE40" s="18"/>
      <c r="EF40" s="18"/>
      <c r="EG40" s="18"/>
      <c r="EH40" s="18"/>
      <c r="EI40" s="18"/>
      <c r="EJ40" s="18"/>
      <c r="EK40" s="18"/>
      <c r="EL40" s="18"/>
      <c r="EM40" s="18"/>
      <c r="EN40" s="18"/>
      <c r="EO40" s="18"/>
      <c r="EP40" s="18"/>
      <c r="EQ40" s="18"/>
      <c r="ER40" s="18"/>
      <c r="ES40" s="18"/>
      <c r="ET40" s="18"/>
      <c r="EU40" s="18"/>
      <c r="EV40" s="18"/>
      <c r="EW40" s="18"/>
      <c r="EX40" s="18"/>
      <c r="EY40" s="18"/>
      <c r="EZ40" s="18"/>
      <c r="FA40" s="18"/>
      <c r="FB40" s="18"/>
      <c r="FC40" s="18"/>
      <c r="FD40" s="18"/>
      <c r="FE40" s="18"/>
      <c r="FF40" s="18"/>
      <c r="FG40" s="18"/>
      <c r="FH40" s="18"/>
      <c r="FI40" s="18"/>
      <c r="FJ40" s="18"/>
      <c r="FK40" s="18"/>
      <c r="FL40" s="18"/>
      <c r="FM40" s="18"/>
      <c r="FN40" s="18"/>
      <c r="FO40" s="18"/>
    </row>
    <row r="41" ht="15.75" customHeight="1">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c r="AQ41" s="21"/>
      <c r="AR41" s="21"/>
      <c r="AS41" s="21"/>
      <c r="AT41" s="21"/>
      <c r="AU41" s="21"/>
      <c r="AV41" s="21"/>
      <c r="AW41" s="21"/>
      <c r="AX41" s="21"/>
      <c r="AY41" s="21"/>
      <c r="AZ41" s="21"/>
      <c r="BA41" s="21"/>
      <c r="BB41" s="21"/>
      <c r="BC41" s="21"/>
      <c r="BD41" s="21"/>
      <c r="BE41" s="21"/>
      <c r="BF41" s="21"/>
      <c r="BG41" s="21"/>
      <c r="BH41" s="21"/>
      <c r="BI41" s="21"/>
      <c r="BJ41" s="21"/>
      <c r="BK41" s="21"/>
      <c r="BL41" s="21"/>
      <c r="BM41" s="21"/>
      <c r="BN41" s="21"/>
      <c r="BO41" s="21"/>
      <c r="BP41" s="21"/>
      <c r="BQ41" s="21"/>
      <c r="BR41" s="21"/>
      <c r="BS41" s="21"/>
      <c r="BT41" s="21"/>
      <c r="BU41" s="21"/>
      <c r="BV41" s="21"/>
      <c r="BW41" s="21"/>
      <c r="BX41" s="21"/>
      <c r="BY41" s="21"/>
      <c r="BZ41" s="21"/>
      <c r="CA41" s="21"/>
      <c r="CB41" s="21"/>
      <c r="CC41" s="21"/>
      <c r="CD41" s="21"/>
      <c r="CE41" s="21"/>
      <c r="CF41" s="21"/>
      <c r="CG41" s="21"/>
      <c r="CH41" s="21"/>
      <c r="CI41" s="21"/>
      <c r="CJ41" s="21"/>
      <c r="CK41" s="21"/>
      <c r="CL41" s="21"/>
      <c r="CM41" s="21"/>
      <c r="CN41" s="21"/>
      <c r="CO41" s="21"/>
      <c r="CP41" s="21"/>
      <c r="CQ41" s="21"/>
      <c r="CR41" s="21"/>
      <c r="CS41" s="21"/>
      <c r="CT41" s="21"/>
      <c r="CU41" s="21"/>
      <c r="CV41" s="21"/>
      <c r="CW41" s="21"/>
      <c r="CX41" s="21"/>
      <c r="CY41" s="21"/>
      <c r="CZ41" s="21"/>
      <c r="DA41" s="21"/>
      <c r="DB41" s="21"/>
      <c r="DC41" s="21"/>
      <c r="DD41" s="21"/>
      <c r="DE41" s="21"/>
      <c r="DF41" s="18"/>
      <c r="DG41" s="18"/>
      <c r="DH41" s="18"/>
      <c r="DI41" s="18"/>
      <c r="DJ41" s="18"/>
      <c r="DK41" s="18"/>
      <c r="DL41" s="18"/>
      <c r="DM41" s="18"/>
      <c r="DN41" s="18"/>
      <c r="DO41" s="18"/>
      <c r="DP41" s="18"/>
      <c r="DQ41" s="18"/>
      <c r="DR41" s="18"/>
      <c r="DS41" s="18"/>
      <c r="DT41" s="18"/>
      <c r="DU41" s="18"/>
      <c r="DV41" s="18"/>
      <c r="DW41" s="18"/>
      <c r="DX41" s="18"/>
      <c r="DY41" s="18"/>
      <c r="DZ41" s="18"/>
      <c r="EA41" s="18"/>
      <c r="EB41" s="18"/>
      <c r="EC41" s="18"/>
      <c r="ED41" s="18"/>
      <c r="EE41" s="18"/>
      <c r="EF41" s="18"/>
      <c r="EG41" s="18"/>
      <c r="EH41" s="18"/>
      <c r="EI41" s="18"/>
      <c r="EJ41" s="18"/>
      <c r="EK41" s="18"/>
      <c r="EL41" s="18"/>
      <c r="EM41" s="18"/>
      <c r="EN41" s="18"/>
      <c r="EO41" s="18"/>
      <c r="EP41" s="18"/>
      <c r="EQ41" s="18"/>
      <c r="ER41" s="18"/>
      <c r="ES41" s="18"/>
      <c r="ET41" s="18"/>
      <c r="EU41" s="18"/>
      <c r="EV41" s="18"/>
      <c r="EW41" s="18"/>
      <c r="EX41" s="18"/>
      <c r="EY41" s="18"/>
      <c r="EZ41" s="18"/>
      <c r="FA41" s="18"/>
      <c r="FB41" s="18"/>
      <c r="FC41" s="18"/>
      <c r="FD41" s="18"/>
      <c r="FE41" s="18"/>
      <c r="FF41" s="18"/>
      <c r="FG41" s="18"/>
      <c r="FH41" s="18"/>
      <c r="FI41" s="18"/>
      <c r="FJ41" s="18"/>
      <c r="FK41" s="18"/>
      <c r="FL41" s="18"/>
      <c r="FM41" s="18"/>
      <c r="FN41" s="18"/>
      <c r="FO41" s="18"/>
    </row>
    <row r="42" ht="15.75" customHeight="1">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c r="AV42" s="21"/>
      <c r="AW42" s="21"/>
      <c r="AX42" s="21"/>
      <c r="AY42" s="21"/>
      <c r="AZ42" s="21"/>
      <c r="BA42" s="21"/>
      <c r="BB42" s="21"/>
      <c r="BC42" s="21"/>
      <c r="BD42" s="21"/>
      <c r="BE42" s="21"/>
      <c r="BF42" s="21"/>
      <c r="BG42" s="21"/>
      <c r="BH42" s="21"/>
      <c r="BI42" s="21"/>
      <c r="BJ42" s="21"/>
      <c r="BK42" s="21"/>
      <c r="BL42" s="21"/>
      <c r="BM42" s="21"/>
      <c r="BN42" s="21"/>
      <c r="BO42" s="21"/>
      <c r="BP42" s="21"/>
      <c r="BQ42" s="21"/>
      <c r="BR42" s="21"/>
      <c r="BS42" s="21"/>
      <c r="BT42" s="21"/>
      <c r="BU42" s="21"/>
      <c r="BV42" s="21"/>
      <c r="BW42" s="21"/>
      <c r="BX42" s="21"/>
      <c r="BY42" s="21"/>
      <c r="BZ42" s="21"/>
      <c r="CA42" s="21"/>
      <c r="CB42" s="21"/>
      <c r="CC42" s="21"/>
      <c r="CD42" s="21"/>
      <c r="CE42" s="21"/>
      <c r="CF42" s="21"/>
      <c r="CG42" s="21"/>
      <c r="CH42" s="21"/>
      <c r="CI42" s="21"/>
      <c r="CJ42" s="21"/>
      <c r="CK42" s="21"/>
      <c r="CL42" s="21"/>
      <c r="CM42" s="21"/>
      <c r="CN42" s="21"/>
      <c r="CO42" s="21"/>
      <c r="CP42" s="21"/>
      <c r="CQ42" s="21"/>
      <c r="CR42" s="21"/>
      <c r="CS42" s="21"/>
      <c r="CT42" s="21"/>
      <c r="CU42" s="21"/>
      <c r="CV42" s="21"/>
      <c r="CW42" s="21"/>
      <c r="CX42" s="21"/>
      <c r="CY42" s="21"/>
      <c r="CZ42" s="21"/>
      <c r="DA42" s="21"/>
      <c r="DB42" s="21"/>
      <c r="DC42" s="21"/>
      <c r="DD42" s="21"/>
      <c r="DE42" s="21"/>
      <c r="DF42" s="18"/>
      <c r="DG42" s="18"/>
      <c r="DH42" s="18"/>
      <c r="DI42" s="18"/>
      <c r="DJ42" s="18"/>
      <c r="DK42" s="18"/>
      <c r="DL42" s="18"/>
      <c r="DM42" s="18"/>
      <c r="DN42" s="18"/>
      <c r="DO42" s="18"/>
      <c r="DP42" s="18"/>
      <c r="DQ42" s="18"/>
      <c r="DR42" s="18"/>
      <c r="DS42" s="18"/>
      <c r="DT42" s="18"/>
      <c r="DU42" s="18"/>
      <c r="DV42" s="18"/>
      <c r="DW42" s="18"/>
      <c r="DX42" s="18"/>
      <c r="DY42" s="18"/>
      <c r="DZ42" s="18"/>
      <c r="EA42" s="18"/>
      <c r="EB42" s="18"/>
      <c r="EC42" s="18"/>
      <c r="ED42" s="18"/>
      <c r="EE42" s="18"/>
      <c r="EF42" s="18"/>
      <c r="EG42" s="18"/>
      <c r="EH42" s="18"/>
      <c r="EI42" s="18"/>
      <c r="EJ42" s="18"/>
      <c r="EK42" s="18"/>
      <c r="EL42" s="18"/>
      <c r="EM42" s="18"/>
      <c r="EN42" s="18"/>
      <c r="EO42" s="18"/>
      <c r="EP42" s="18"/>
      <c r="EQ42" s="18"/>
      <c r="ER42" s="18"/>
      <c r="ES42" s="18"/>
      <c r="ET42" s="18"/>
      <c r="EU42" s="18"/>
      <c r="EV42" s="18"/>
      <c r="EW42" s="18"/>
      <c r="EX42" s="18"/>
      <c r="EY42" s="18"/>
      <c r="EZ42" s="18"/>
      <c r="FA42" s="18"/>
      <c r="FB42" s="18"/>
      <c r="FC42" s="18"/>
      <c r="FD42" s="18"/>
      <c r="FE42" s="18"/>
      <c r="FF42" s="18"/>
      <c r="FG42" s="18"/>
      <c r="FH42" s="18"/>
      <c r="FI42" s="18"/>
      <c r="FJ42" s="18"/>
      <c r="FK42" s="18"/>
      <c r="FL42" s="18"/>
      <c r="FM42" s="18"/>
      <c r="FN42" s="18"/>
      <c r="FO42" s="18"/>
    </row>
    <row r="43" ht="15.75" customHeight="1">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c r="AQ43" s="21"/>
      <c r="AR43" s="21"/>
      <c r="AS43" s="21"/>
      <c r="AT43" s="21"/>
      <c r="AU43" s="21"/>
      <c r="AV43" s="21"/>
      <c r="AW43" s="21"/>
      <c r="AX43" s="21"/>
      <c r="AY43" s="21"/>
      <c r="AZ43" s="21"/>
      <c r="BA43" s="21"/>
      <c r="BB43" s="21"/>
      <c r="BC43" s="21"/>
      <c r="BD43" s="21"/>
      <c r="BE43" s="21"/>
      <c r="BF43" s="21"/>
      <c r="BG43" s="21"/>
      <c r="BH43" s="21"/>
      <c r="BI43" s="21"/>
      <c r="BJ43" s="21"/>
      <c r="BK43" s="21"/>
      <c r="BL43" s="21"/>
      <c r="BM43" s="21"/>
      <c r="BN43" s="21"/>
      <c r="BO43" s="21"/>
      <c r="BP43" s="21"/>
      <c r="BQ43" s="21"/>
      <c r="BR43" s="21"/>
      <c r="BS43" s="21"/>
      <c r="BT43" s="21"/>
      <c r="BU43" s="21"/>
      <c r="BV43" s="21"/>
      <c r="BW43" s="21"/>
      <c r="BX43" s="21"/>
      <c r="BY43" s="21"/>
      <c r="BZ43" s="21"/>
      <c r="CA43" s="21"/>
      <c r="CB43" s="21"/>
      <c r="CC43" s="21"/>
      <c r="CD43" s="21"/>
      <c r="CE43" s="21"/>
      <c r="CF43" s="21"/>
      <c r="CG43" s="21"/>
      <c r="CH43" s="21"/>
      <c r="CI43" s="21"/>
      <c r="CJ43" s="21"/>
      <c r="CK43" s="21"/>
      <c r="CL43" s="21"/>
      <c r="CM43" s="21"/>
      <c r="CN43" s="21"/>
      <c r="CO43" s="21"/>
      <c r="CP43" s="21"/>
      <c r="CQ43" s="21"/>
      <c r="CR43" s="21"/>
      <c r="CS43" s="21"/>
      <c r="CT43" s="21"/>
      <c r="CU43" s="21"/>
      <c r="CV43" s="21"/>
      <c r="CW43" s="21"/>
      <c r="CX43" s="21"/>
      <c r="CY43" s="21"/>
      <c r="CZ43" s="21"/>
      <c r="DA43" s="21"/>
      <c r="DB43" s="21"/>
      <c r="DC43" s="21"/>
      <c r="DD43" s="21"/>
      <c r="DE43" s="21"/>
      <c r="DF43" s="18"/>
      <c r="DG43" s="18"/>
      <c r="DH43" s="18"/>
      <c r="DI43" s="18"/>
      <c r="DJ43" s="18"/>
      <c r="DK43" s="18"/>
      <c r="DL43" s="18"/>
      <c r="DM43" s="18"/>
      <c r="DN43" s="18"/>
      <c r="DO43" s="18"/>
      <c r="DP43" s="18"/>
      <c r="DQ43" s="18"/>
      <c r="DR43" s="18"/>
      <c r="DS43" s="18"/>
      <c r="DT43" s="18"/>
      <c r="DU43" s="18"/>
      <c r="DV43" s="18"/>
      <c r="DW43" s="18"/>
      <c r="DX43" s="18"/>
      <c r="DY43" s="18"/>
      <c r="DZ43" s="18"/>
      <c r="EA43" s="18"/>
      <c r="EB43" s="18"/>
      <c r="EC43" s="18"/>
      <c r="ED43" s="18"/>
      <c r="EE43" s="18"/>
      <c r="EF43" s="18"/>
      <c r="EG43" s="18"/>
      <c r="EH43" s="18"/>
      <c r="EI43" s="18"/>
      <c r="EJ43" s="18"/>
      <c r="EK43" s="18"/>
      <c r="EL43" s="18"/>
      <c r="EM43" s="18"/>
      <c r="EN43" s="18"/>
      <c r="EO43" s="18"/>
      <c r="EP43" s="18"/>
      <c r="EQ43" s="18"/>
      <c r="ER43" s="18"/>
      <c r="ES43" s="18"/>
      <c r="ET43" s="18"/>
      <c r="EU43" s="18"/>
      <c r="EV43" s="18"/>
      <c r="EW43" s="18"/>
      <c r="EX43" s="18"/>
      <c r="EY43" s="18"/>
      <c r="EZ43" s="18"/>
      <c r="FA43" s="18"/>
      <c r="FB43" s="18"/>
      <c r="FC43" s="18"/>
      <c r="FD43" s="18"/>
      <c r="FE43" s="18"/>
      <c r="FF43" s="18"/>
      <c r="FG43" s="18"/>
      <c r="FH43" s="18"/>
      <c r="FI43" s="18"/>
      <c r="FJ43" s="18"/>
      <c r="FK43" s="18"/>
      <c r="FL43" s="18"/>
      <c r="FM43" s="18"/>
      <c r="FN43" s="18"/>
      <c r="FO43" s="18"/>
    </row>
    <row r="44" ht="15.75" customHeight="1">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1"/>
      <c r="AM44" s="21"/>
      <c r="AN44" s="21"/>
      <c r="AO44" s="21"/>
      <c r="AP44" s="21"/>
      <c r="AQ44" s="21"/>
      <c r="AR44" s="21"/>
      <c r="AS44" s="21"/>
      <c r="AT44" s="21"/>
      <c r="AU44" s="21"/>
      <c r="AV44" s="21"/>
      <c r="AW44" s="21"/>
      <c r="AX44" s="21"/>
      <c r="AY44" s="21"/>
      <c r="AZ44" s="21"/>
      <c r="BA44" s="21"/>
      <c r="BB44" s="21"/>
      <c r="BC44" s="21"/>
      <c r="BD44" s="21"/>
      <c r="BE44" s="21"/>
      <c r="BF44" s="21"/>
      <c r="BG44" s="21"/>
      <c r="BH44" s="21"/>
      <c r="BI44" s="21"/>
      <c r="BJ44" s="21"/>
      <c r="BK44" s="21"/>
      <c r="BL44" s="21"/>
      <c r="BM44" s="21"/>
      <c r="BN44" s="21"/>
      <c r="BO44" s="21"/>
      <c r="BP44" s="21"/>
      <c r="BQ44" s="21"/>
      <c r="BR44" s="21"/>
      <c r="BS44" s="21"/>
      <c r="BT44" s="21"/>
      <c r="BU44" s="21"/>
      <c r="BV44" s="21"/>
      <c r="BW44" s="21"/>
      <c r="BX44" s="21"/>
      <c r="BY44" s="21"/>
      <c r="BZ44" s="21"/>
      <c r="CA44" s="21"/>
      <c r="CB44" s="21"/>
      <c r="CC44" s="21"/>
      <c r="CD44" s="21"/>
      <c r="CE44" s="21"/>
      <c r="CF44" s="21"/>
      <c r="CG44" s="21"/>
      <c r="CH44" s="21"/>
      <c r="CI44" s="21"/>
      <c r="CJ44" s="21"/>
      <c r="CK44" s="21"/>
      <c r="CL44" s="21"/>
      <c r="CM44" s="21"/>
      <c r="CN44" s="21"/>
      <c r="CO44" s="21"/>
      <c r="CP44" s="21"/>
      <c r="CQ44" s="21"/>
      <c r="CR44" s="21"/>
      <c r="CS44" s="21"/>
      <c r="CT44" s="21"/>
      <c r="CU44" s="21"/>
      <c r="CV44" s="21"/>
      <c r="CW44" s="21"/>
      <c r="CX44" s="21"/>
      <c r="CY44" s="21"/>
      <c r="CZ44" s="21"/>
      <c r="DA44" s="21"/>
      <c r="DB44" s="21"/>
      <c r="DC44" s="21"/>
      <c r="DD44" s="21"/>
      <c r="DE44" s="21"/>
      <c r="DF44" s="18"/>
      <c r="DG44" s="18"/>
      <c r="DH44" s="18"/>
      <c r="DI44" s="18"/>
      <c r="DJ44" s="18"/>
      <c r="DK44" s="18"/>
      <c r="DL44" s="18"/>
      <c r="DM44" s="18"/>
      <c r="DN44" s="18"/>
      <c r="DO44" s="18"/>
      <c r="DP44" s="18"/>
      <c r="DQ44" s="18"/>
      <c r="DR44" s="18"/>
      <c r="DS44" s="18"/>
      <c r="DT44" s="18"/>
      <c r="DU44" s="18"/>
      <c r="DV44" s="18"/>
      <c r="DW44" s="18"/>
      <c r="DX44" s="18"/>
      <c r="DY44" s="18"/>
      <c r="DZ44" s="18"/>
      <c r="EA44" s="18"/>
      <c r="EB44" s="18"/>
      <c r="EC44" s="18"/>
      <c r="ED44" s="18"/>
      <c r="EE44" s="18"/>
      <c r="EF44" s="18"/>
      <c r="EG44" s="18"/>
      <c r="EH44" s="18"/>
      <c r="EI44" s="18"/>
      <c r="EJ44" s="18"/>
      <c r="EK44" s="18"/>
      <c r="EL44" s="18"/>
      <c r="EM44" s="18"/>
      <c r="EN44" s="18"/>
      <c r="EO44" s="18"/>
      <c r="EP44" s="18"/>
      <c r="EQ44" s="18"/>
      <c r="ER44" s="18"/>
      <c r="ES44" s="18"/>
      <c r="ET44" s="18"/>
      <c r="EU44" s="18"/>
      <c r="EV44" s="18"/>
      <c r="EW44" s="18"/>
      <c r="EX44" s="18"/>
      <c r="EY44" s="18"/>
      <c r="EZ44" s="18"/>
      <c r="FA44" s="18"/>
      <c r="FB44" s="18"/>
      <c r="FC44" s="18"/>
      <c r="FD44" s="18"/>
      <c r="FE44" s="18"/>
      <c r="FF44" s="18"/>
      <c r="FG44" s="18"/>
      <c r="FH44" s="18"/>
      <c r="FI44" s="18"/>
      <c r="FJ44" s="18"/>
      <c r="FK44" s="18"/>
      <c r="FL44" s="18"/>
      <c r="FM44" s="18"/>
      <c r="FN44" s="18"/>
      <c r="FO44" s="18"/>
    </row>
    <row r="45" ht="15.75" customHeight="1">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c r="AO45" s="21"/>
      <c r="AP45" s="21"/>
      <c r="AQ45" s="21"/>
      <c r="AR45" s="21"/>
      <c r="AS45" s="21"/>
      <c r="AT45" s="21"/>
      <c r="AU45" s="21"/>
      <c r="AV45" s="21"/>
      <c r="AW45" s="21"/>
      <c r="AX45" s="21"/>
      <c r="AY45" s="21"/>
      <c r="AZ45" s="21"/>
      <c r="BA45" s="21"/>
      <c r="BB45" s="21"/>
      <c r="BC45" s="21"/>
      <c r="BD45" s="21"/>
      <c r="BE45" s="21"/>
      <c r="BF45" s="21"/>
      <c r="BG45" s="21"/>
      <c r="BH45" s="21"/>
      <c r="BI45" s="21"/>
      <c r="BJ45" s="21"/>
      <c r="BK45" s="21"/>
      <c r="BL45" s="21"/>
      <c r="BM45" s="21"/>
      <c r="BN45" s="21"/>
      <c r="BO45" s="21"/>
      <c r="BP45" s="21"/>
      <c r="BQ45" s="21"/>
      <c r="BR45" s="21"/>
      <c r="BS45" s="21"/>
      <c r="BT45" s="21"/>
      <c r="BU45" s="21"/>
      <c r="BV45" s="21"/>
      <c r="BW45" s="21"/>
      <c r="BX45" s="21"/>
      <c r="BY45" s="21"/>
      <c r="BZ45" s="21"/>
      <c r="CA45" s="21"/>
      <c r="CB45" s="21"/>
      <c r="CC45" s="21"/>
      <c r="CD45" s="21"/>
      <c r="CE45" s="21"/>
      <c r="CF45" s="21"/>
      <c r="CG45" s="21"/>
      <c r="CH45" s="21"/>
      <c r="CI45" s="21"/>
      <c r="CJ45" s="21"/>
      <c r="CK45" s="21"/>
      <c r="CL45" s="21"/>
      <c r="CM45" s="21"/>
      <c r="CN45" s="21"/>
      <c r="CO45" s="21"/>
      <c r="CP45" s="21"/>
      <c r="CQ45" s="21"/>
      <c r="CR45" s="21"/>
      <c r="CS45" s="21"/>
      <c r="CT45" s="21"/>
      <c r="CU45" s="21"/>
      <c r="CV45" s="21"/>
      <c r="CW45" s="21"/>
      <c r="CX45" s="21"/>
      <c r="CY45" s="21"/>
      <c r="CZ45" s="21"/>
      <c r="DA45" s="21"/>
      <c r="DB45" s="21"/>
      <c r="DC45" s="21"/>
      <c r="DD45" s="21"/>
      <c r="DE45" s="21"/>
      <c r="DF45" s="18"/>
      <c r="DG45" s="18"/>
      <c r="DH45" s="18"/>
      <c r="DI45" s="18"/>
      <c r="DJ45" s="18"/>
      <c r="DK45" s="18"/>
      <c r="DL45" s="18"/>
      <c r="DM45" s="18"/>
      <c r="DN45" s="18"/>
      <c r="DO45" s="18"/>
      <c r="DP45" s="18"/>
      <c r="DQ45" s="18"/>
      <c r="DR45" s="18"/>
      <c r="DS45" s="18"/>
      <c r="DT45" s="18"/>
      <c r="DU45" s="18"/>
      <c r="DV45" s="18"/>
      <c r="DW45" s="18"/>
      <c r="DX45" s="18"/>
      <c r="DY45" s="18"/>
      <c r="DZ45" s="18"/>
      <c r="EA45" s="18"/>
      <c r="EB45" s="18"/>
      <c r="EC45" s="18"/>
      <c r="ED45" s="18"/>
      <c r="EE45" s="18"/>
      <c r="EF45" s="18"/>
      <c r="EG45" s="18"/>
      <c r="EH45" s="18"/>
      <c r="EI45" s="18"/>
      <c r="EJ45" s="18"/>
      <c r="EK45" s="18"/>
      <c r="EL45" s="18"/>
      <c r="EM45" s="18"/>
      <c r="EN45" s="18"/>
      <c r="EO45" s="18"/>
      <c r="EP45" s="18"/>
      <c r="EQ45" s="18"/>
      <c r="ER45" s="18"/>
      <c r="ES45" s="18"/>
      <c r="ET45" s="18"/>
      <c r="EU45" s="18"/>
      <c r="EV45" s="18"/>
      <c r="EW45" s="18"/>
      <c r="EX45" s="18"/>
      <c r="EY45" s="18"/>
      <c r="EZ45" s="18"/>
      <c r="FA45" s="18"/>
      <c r="FB45" s="18"/>
      <c r="FC45" s="18"/>
      <c r="FD45" s="18"/>
      <c r="FE45" s="18"/>
      <c r="FF45" s="18"/>
      <c r="FG45" s="18"/>
      <c r="FH45" s="18"/>
      <c r="FI45" s="18"/>
      <c r="FJ45" s="18"/>
      <c r="FK45" s="18"/>
      <c r="FL45" s="18"/>
      <c r="FM45" s="18"/>
      <c r="FN45" s="18"/>
      <c r="FO45" s="18"/>
    </row>
    <row r="46" ht="15.75" customHeight="1">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c r="AE46" s="21"/>
      <c r="AF46" s="21"/>
      <c r="AG46" s="21"/>
      <c r="AH46" s="21"/>
      <c r="AI46" s="21"/>
      <c r="AJ46" s="21"/>
      <c r="AK46" s="21"/>
      <c r="AL46" s="21"/>
      <c r="AM46" s="21"/>
      <c r="AN46" s="21"/>
      <c r="AO46" s="21"/>
      <c r="AP46" s="21"/>
      <c r="AQ46" s="21"/>
      <c r="AR46" s="21"/>
      <c r="AS46" s="21"/>
      <c r="AT46" s="21"/>
      <c r="AU46" s="21"/>
      <c r="AV46" s="21"/>
      <c r="AW46" s="21"/>
      <c r="AX46" s="21"/>
      <c r="AY46" s="21"/>
      <c r="AZ46" s="21"/>
      <c r="BA46" s="21"/>
      <c r="BB46" s="21"/>
      <c r="BC46" s="21"/>
      <c r="BD46" s="21"/>
      <c r="BE46" s="21"/>
      <c r="BF46" s="21"/>
      <c r="BG46" s="21"/>
      <c r="BH46" s="21"/>
      <c r="BI46" s="21"/>
      <c r="BJ46" s="21"/>
      <c r="BK46" s="21"/>
      <c r="BL46" s="21"/>
      <c r="BM46" s="21"/>
      <c r="BN46" s="21"/>
      <c r="BO46" s="21"/>
      <c r="BP46" s="21"/>
      <c r="BQ46" s="21"/>
      <c r="BR46" s="21"/>
      <c r="BS46" s="21"/>
      <c r="BT46" s="21"/>
      <c r="BU46" s="21"/>
      <c r="BV46" s="21"/>
      <c r="BW46" s="21"/>
      <c r="BX46" s="21"/>
      <c r="BY46" s="21"/>
      <c r="BZ46" s="21"/>
      <c r="CA46" s="21"/>
      <c r="CB46" s="21"/>
      <c r="CC46" s="21"/>
      <c r="CD46" s="21"/>
      <c r="CE46" s="21"/>
      <c r="CF46" s="21"/>
      <c r="CG46" s="21"/>
      <c r="CH46" s="21"/>
      <c r="CI46" s="21"/>
      <c r="CJ46" s="21"/>
      <c r="CK46" s="21"/>
      <c r="CL46" s="21"/>
      <c r="CM46" s="21"/>
      <c r="CN46" s="21"/>
      <c r="CO46" s="21"/>
      <c r="CP46" s="21"/>
      <c r="CQ46" s="21"/>
      <c r="CR46" s="21"/>
      <c r="CS46" s="21"/>
      <c r="CT46" s="21"/>
      <c r="CU46" s="21"/>
      <c r="CV46" s="21"/>
      <c r="CW46" s="21"/>
      <c r="CX46" s="21"/>
      <c r="CY46" s="21"/>
      <c r="CZ46" s="21"/>
      <c r="DA46" s="21"/>
      <c r="DB46" s="21"/>
      <c r="DC46" s="21"/>
      <c r="DD46" s="21"/>
      <c r="DE46" s="21"/>
      <c r="DF46" s="18"/>
      <c r="DG46" s="18"/>
      <c r="DH46" s="18"/>
      <c r="DI46" s="18"/>
      <c r="DJ46" s="18"/>
      <c r="DK46" s="18"/>
      <c r="DL46" s="18"/>
      <c r="DM46" s="18"/>
      <c r="DN46" s="18"/>
      <c r="DO46" s="18"/>
      <c r="DP46" s="18"/>
      <c r="DQ46" s="18"/>
      <c r="DR46" s="18"/>
      <c r="DS46" s="18"/>
      <c r="DT46" s="18"/>
      <c r="DU46" s="18"/>
      <c r="DV46" s="18"/>
      <c r="DW46" s="18"/>
      <c r="DX46" s="18"/>
      <c r="DY46" s="18"/>
      <c r="DZ46" s="18"/>
      <c r="EA46" s="18"/>
      <c r="EB46" s="18"/>
      <c r="EC46" s="18"/>
      <c r="ED46" s="18"/>
      <c r="EE46" s="18"/>
      <c r="EF46" s="18"/>
      <c r="EG46" s="18"/>
      <c r="EH46" s="18"/>
      <c r="EI46" s="18"/>
      <c r="EJ46" s="18"/>
      <c r="EK46" s="18"/>
      <c r="EL46" s="18"/>
      <c r="EM46" s="18"/>
      <c r="EN46" s="18"/>
      <c r="EO46" s="18"/>
      <c r="EP46" s="18"/>
      <c r="EQ46" s="18"/>
      <c r="ER46" s="18"/>
      <c r="ES46" s="18"/>
      <c r="ET46" s="18"/>
      <c r="EU46" s="18"/>
      <c r="EV46" s="18"/>
      <c r="EW46" s="18"/>
      <c r="EX46" s="18"/>
      <c r="EY46" s="18"/>
      <c r="EZ46" s="18"/>
      <c r="FA46" s="18"/>
      <c r="FB46" s="18"/>
      <c r="FC46" s="18"/>
      <c r="FD46" s="18"/>
      <c r="FE46" s="18"/>
      <c r="FF46" s="18"/>
      <c r="FG46" s="18"/>
      <c r="FH46" s="18"/>
      <c r="FI46" s="18"/>
      <c r="FJ46" s="18"/>
      <c r="FK46" s="18"/>
      <c r="FL46" s="18"/>
      <c r="FM46" s="18"/>
      <c r="FN46" s="18"/>
      <c r="FO46" s="18"/>
    </row>
    <row r="47" ht="15.75" customHeight="1">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c r="AU47" s="21"/>
      <c r="AV47" s="21"/>
      <c r="AW47" s="21"/>
      <c r="AX47" s="21"/>
      <c r="AY47" s="21"/>
      <c r="AZ47" s="21"/>
      <c r="BA47" s="21"/>
      <c r="BB47" s="21"/>
      <c r="BC47" s="21"/>
      <c r="BD47" s="21"/>
      <c r="BE47" s="21"/>
      <c r="BF47" s="21"/>
      <c r="BG47" s="21"/>
      <c r="BH47" s="21"/>
      <c r="BI47" s="21"/>
      <c r="BJ47" s="21"/>
      <c r="BK47" s="21"/>
      <c r="BL47" s="21"/>
      <c r="BM47" s="21"/>
      <c r="BN47" s="21"/>
      <c r="BO47" s="21"/>
      <c r="BP47" s="21"/>
      <c r="BQ47" s="21"/>
      <c r="BR47" s="21"/>
      <c r="BS47" s="21"/>
      <c r="BT47" s="21"/>
      <c r="BU47" s="21"/>
      <c r="BV47" s="21"/>
      <c r="BW47" s="21"/>
      <c r="BX47" s="21"/>
      <c r="BY47" s="21"/>
      <c r="BZ47" s="21"/>
      <c r="CA47" s="21"/>
      <c r="CB47" s="21"/>
      <c r="CC47" s="21"/>
      <c r="CD47" s="21"/>
      <c r="CE47" s="21"/>
      <c r="CF47" s="21"/>
      <c r="CG47" s="21"/>
      <c r="CH47" s="21"/>
      <c r="CI47" s="21"/>
      <c r="CJ47" s="21"/>
      <c r="CK47" s="21"/>
      <c r="CL47" s="21"/>
      <c r="CM47" s="21"/>
      <c r="CN47" s="21"/>
      <c r="CO47" s="21"/>
      <c r="CP47" s="21"/>
      <c r="CQ47" s="21"/>
      <c r="CR47" s="21"/>
      <c r="CS47" s="21"/>
      <c r="CT47" s="21"/>
      <c r="CU47" s="21"/>
      <c r="CV47" s="21"/>
      <c r="CW47" s="21"/>
      <c r="CX47" s="21"/>
      <c r="CY47" s="21"/>
      <c r="CZ47" s="21"/>
      <c r="DA47" s="21"/>
      <c r="DB47" s="21"/>
      <c r="DC47" s="21"/>
      <c r="DD47" s="21"/>
      <c r="DE47" s="21"/>
      <c r="DF47" s="18"/>
      <c r="DG47" s="18"/>
      <c r="DH47" s="18"/>
      <c r="DI47" s="18"/>
      <c r="DJ47" s="18"/>
      <c r="DK47" s="18"/>
      <c r="DL47" s="18"/>
      <c r="DM47" s="18"/>
      <c r="DN47" s="18"/>
      <c r="DO47" s="18"/>
      <c r="DP47" s="18"/>
      <c r="DQ47" s="18"/>
      <c r="DR47" s="18"/>
      <c r="DS47" s="18"/>
      <c r="DT47" s="18"/>
      <c r="DU47" s="18"/>
      <c r="DV47" s="18"/>
      <c r="DW47" s="18"/>
      <c r="DX47" s="18"/>
      <c r="DY47" s="18"/>
      <c r="DZ47" s="18"/>
      <c r="EA47" s="18"/>
      <c r="EB47" s="18"/>
      <c r="EC47" s="18"/>
      <c r="ED47" s="18"/>
      <c r="EE47" s="18"/>
      <c r="EF47" s="18"/>
      <c r="EG47" s="18"/>
      <c r="EH47" s="18"/>
      <c r="EI47" s="18"/>
      <c r="EJ47" s="18"/>
      <c r="EK47" s="18"/>
      <c r="EL47" s="18"/>
      <c r="EM47" s="18"/>
      <c r="EN47" s="18"/>
      <c r="EO47" s="18"/>
      <c r="EP47" s="18"/>
      <c r="EQ47" s="18"/>
      <c r="ER47" s="18"/>
      <c r="ES47" s="18"/>
      <c r="ET47" s="18"/>
      <c r="EU47" s="18"/>
      <c r="EV47" s="18"/>
      <c r="EW47" s="18"/>
      <c r="EX47" s="18"/>
      <c r="EY47" s="18"/>
      <c r="EZ47" s="18"/>
      <c r="FA47" s="18"/>
      <c r="FB47" s="18"/>
      <c r="FC47" s="18"/>
      <c r="FD47" s="18"/>
      <c r="FE47" s="18"/>
      <c r="FF47" s="18"/>
      <c r="FG47" s="18"/>
      <c r="FH47" s="18"/>
      <c r="FI47" s="18"/>
      <c r="FJ47" s="18"/>
      <c r="FK47" s="18"/>
      <c r="FL47" s="18"/>
      <c r="FM47" s="18"/>
      <c r="FN47" s="18"/>
      <c r="FO47" s="18"/>
    </row>
    <row r="48" ht="15.75" customHeight="1">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1"/>
      <c r="BA48" s="21"/>
      <c r="BB48" s="21"/>
      <c r="BC48" s="21"/>
      <c r="BD48" s="21"/>
      <c r="BE48" s="21"/>
      <c r="BF48" s="21"/>
      <c r="BG48" s="21"/>
      <c r="BH48" s="21"/>
      <c r="BI48" s="21"/>
      <c r="BJ48" s="21"/>
      <c r="BK48" s="21"/>
      <c r="BL48" s="21"/>
      <c r="BM48" s="21"/>
      <c r="BN48" s="21"/>
      <c r="BO48" s="21"/>
      <c r="BP48" s="21"/>
      <c r="BQ48" s="21"/>
      <c r="BR48" s="21"/>
      <c r="BS48" s="21"/>
      <c r="BT48" s="21"/>
      <c r="BU48" s="21"/>
      <c r="BV48" s="21"/>
      <c r="BW48" s="21"/>
      <c r="BX48" s="21"/>
      <c r="BY48" s="21"/>
      <c r="BZ48" s="21"/>
      <c r="CA48" s="21"/>
      <c r="CB48" s="21"/>
      <c r="CC48" s="21"/>
      <c r="CD48" s="21"/>
      <c r="CE48" s="21"/>
      <c r="CF48" s="21"/>
      <c r="CG48" s="21"/>
      <c r="CH48" s="21"/>
      <c r="CI48" s="21"/>
      <c r="CJ48" s="21"/>
      <c r="CK48" s="21"/>
      <c r="CL48" s="21"/>
      <c r="CM48" s="21"/>
      <c r="CN48" s="21"/>
      <c r="CO48" s="21"/>
      <c r="CP48" s="21"/>
      <c r="CQ48" s="21"/>
      <c r="CR48" s="21"/>
      <c r="CS48" s="21"/>
      <c r="CT48" s="21"/>
      <c r="CU48" s="21"/>
      <c r="CV48" s="21"/>
      <c r="CW48" s="21"/>
      <c r="CX48" s="21"/>
      <c r="CY48" s="21"/>
      <c r="CZ48" s="21"/>
      <c r="DA48" s="21"/>
      <c r="DB48" s="21"/>
      <c r="DC48" s="21"/>
      <c r="DD48" s="21"/>
      <c r="DE48" s="21"/>
      <c r="DF48" s="18"/>
      <c r="DG48" s="18"/>
      <c r="DH48" s="18"/>
      <c r="DI48" s="18"/>
      <c r="DJ48" s="18"/>
      <c r="DK48" s="18"/>
      <c r="DL48" s="18"/>
      <c r="DM48" s="18"/>
      <c r="DN48" s="18"/>
      <c r="DO48" s="18"/>
      <c r="DP48" s="18"/>
      <c r="DQ48" s="18"/>
      <c r="DR48" s="18"/>
      <c r="DS48" s="18"/>
      <c r="DT48" s="18"/>
      <c r="DU48" s="18"/>
      <c r="DV48" s="18"/>
      <c r="DW48" s="18"/>
      <c r="DX48" s="18"/>
      <c r="DY48" s="18"/>
      <c r="DZ48" s="18"/>
      <c r="EA48" s="18"/>
      <c r="EB48" s="18"/>
      <c r="EC48" s="18"/>
      <c r="ED48" s="18"/>
      <c r="EE48" s="18"/>
      <c r="EF48" s="18"/>
      <c r="EG48" s="18"/>
      <c r="EH48" s="18"/>
      <c r="EI48" s="18"/>
      <c r="EJ48" s="18"/>
      <c r="EK48" s="18"/>
      <c r="EL48" s="18"/>
      <c r="EM48" s="18"/>
      <c r="EN48" s="18"/>
      <c r="EO48" s="18"/>
      <c r="EP48" s="18"/>
      <c r="EQ48" s="18"/>
      <c r="ER48" s="18"/>
      <c r="ES48" s="18"/>
      <c r="ET48" s="18"/>
      <c r="EU48" s="18"/>
      <c r="EV48" s="18"/>
      <c r="EW48" s="18"/>
      <c r="EX48" s="18"/>
      <c r="EY48" s="18"/>
      <c r="EZ48" s="18"/>
      <c r="FA48" s="18"/>
      <c r="FB48" s="18"/>
      <c r="FC48" s="18"/>
      <c r="FD48" s="18"/>
      <c r="FE48" s="18"/>
      <c r="FF48" s="18"/>
      <c r="FG48" s="18"/>
      <c r="FH48" s="18"/>
      <c r="FI48" s="18"/>
      <c r="FJ48" s="18"/>
      <c r="FK48" s="18"/>
      <c r="FL48" s="18"/>
      <c r="FM48" s="18"/>
      <c r="FN48" s="18"/>
      <c r="FO48" s="18"/>
    </row>
    <row r="49" ht="15.75" customHeight="1">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c r="AA49" s="21"/>
      <c r="AB49" s="21"/>
      <c r="AC49" s="21"/>
      <c r="AD49" s="21"/>
      <c r="AE49" s="21"/>
      <c r="AF49" s="21"/>
      <c r="AG49" s="21"/>
      <c r="AH49" s="21"/>
      <c r="AI49" s="21"/>
      <c r="AJ49" s="21"/>
      <c r="AK49" s="21"/>
      <c r="AL49" s="21"/>
      <c r="AM49" s="21"/>
      <c r="AN49" s="21"/>
      <c r="AO49" s="21"/>
      <c r="AP49" s="21"/>
      <c r="AQ49" s="21"/>
      <c r="AR49" s="21"/>
      <c r="AS49" s="21"/>
      <c r="AT49" s="21"/>
      <c r="AU49" s="21"/>
      <c r="AV49" s="21"/>
      <c r="AW49" s="21"/>
      <c r="AX49" s="21"/>
      <c r="AY49" s="21"/>
      <c r="AZ49" s="21"/>
      <c r="BA49" s="21"/>
      <c r="BB49" s="21"/>
      <c r="BC49" s="21"/>
      <c r="BD49" s="21"/>
      <c r="BE49" s="21"/>
      <c r="BF49" s="21"/>
      <c r="BG49" s="21"/>
      <c r="BH49" s="21"/>
      <c r="BI49" s="21"/>
      <c r="BJ49" s="21"/>
      <c r="BK49" s="21"/>
      <c r="BL49" s="21"/>
      <c r="BM49" s="21"/>
      <c r="BN49" s="21"/>
      <c r="BO49" s="21"/>
      <c r="BP49" s="21"/>
      <c r="BQ49" s="21"/>
      <c r="BR49" s="21"/>
      <c r="BS49" s="21"/>
      <c r="BT49" s="21"/>
      <c r="BU49" s="21"/>
      <c r="BV49" s="21"/>
      <c r="BW49" s="21"/>
      <c r="BX49" s="21"/>
      <c r="BY49" s="21"/>
      <c r="BZ49" s="21"/>
      <c r="CA49" s="21"/>
      <c r="CB49" s="21"/>
      <c r="CC49" s="21"/>
      <c r="CD49" s="21"/>
      <c r="CE49" s="21"/>
      <c r="CF49" s="21"/>
      <c r="CG49" s="21"/>
      <c r="CH49" s="21"/>
      <c r="CI49" s="21"/>
      <c r="CJ49" s="21"/>
      <c r="CK49" s="21"/>
      <c r="CL49" s="21"/>
      <c r="CM49" s="21"/>
      <c r="CN49" s="21"/>
      <c r="CO49" s="21"/>
      <c r="CP49" s="21"/>
      <c r="CQ49" s="21"/>
      <c r="CR49" s="21"/>
      <c r="CS49" s="21"/>
      <c r="CT49" s="21"/>
      <c r="CU49" s="21"/>
      <c r="CV49" s="21"/>
      <c r="CW49" s="21"/>
      <c r="CX49" s="21"/>
      <c r="CY49" s="21"/>
      <c r="CZ49" s="21"/>
      <c r="DA49" s="21"/>
      <c r="DB49" s="21"/>
      <c r="DC49" s="21"/>
      <c r="DD49" s="21"/>
      <c r="DE49" s="21"/>
      <c r="DF49" s="18"/>
      <c r="DG49" s="18"/>
      <c r="DH49" s="18"/>
      <c r="DI49" s="18"/>
      <c r="DJ49" s="18"/>
      <c r="DK49" s="18"/>
      <c r="DL49" s="18"/>
      <c r="DM49" s="18"/>
      <c r="DN49" s="18"/>
      <c r="DO49" s="18"/>
      <c r="DP49" s="18"/>
      <c r="DQ49" s="18"/>
      <c r="DR49" s="18"/>
      <c r="DS49" s="18"/>
      <c r="DT49" s="18"/>
      <c r="DU49" s="18"/>
      <c r="DV49" s="18"/>
      <c r="DW49" s="18"/>
      <c r="DX49" s="18"/>
      <c r="DY49" s="18"/>
      <c r="DZ49" s="18"/>
      <c r="EA49" s="18"/>
      <c r="EB49" s="18"/>
      <c r="EC49" s="18"/>
      <c r="ED49" s="18"/>
      <c r="EE49" s="18"/>
      <c r="EF49" s="18"/>
      <c r="EG49" s="18"/>
      <c r="EH49" s="18"/>
      <c r="EI49" s="18"/>
      <c r="EJ49" s="18"/>
      <c r="EK49" s="18"/>
      <c r="EL49" s="18"/>
      <c r="EM49" s="18"/>
      <c r="EN49" s="18"/>
      <c r="EO49" s="18"/>
      <c r="EP49" s="18"/>
      <c r="EQ49" s="18"/>
      <c r="ER49" s="18"/>
      <c r="ES49" s="18"/>
      <c r="ET49" s="18"/>
      <c r="EU49" s="18"/>
      <c r="EV49" s="18"/>
      <c r="EW49" s="18"/>
      <c r="EX49" s="18"/>
      <c r="EY49" s="18"/>
      <c r="EZ49" s="18"/>
      <c r="FA49" s="18"/>
      <c r="FB49" s="18"/>
      <c r="FC49" s="18"/>
      <c r="FD49" s="18"/>
      <c r="FE49" s="18"/>
      <c r="FF49" s="18"/>
      <c r="FG49" s="18"/>
      <c r="FH49" s="18"/>
      <c r="FI49" s="18"/>
      <c r="FJ49" s="18"/>
      <c r="FK49" s="18"/>
      <c r="FL49" s="18"/>
      <c r="FM49" s="18"/>
      <c r="FN49" s="18"/>
      <c r="FO49" s="18"/>
    </row>
    <row r="50" ht="15.75" customHeight="1">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c r="AV50" s="21"/>
      <c r="AW50" s="21"/>
      <c r="AX50" s="21"/>
      <c r="AY50" s="21"/>
      <c r="AZ50" s="21"/>
      <c r="BA50" s="21"/>
      <c r="BB50" s="21"/>
      <c r="BC50" s="21"/>
      <c r="BD50" s="21"/>
      <c r="BE50" s="21"/>
      <c r="BF50" s="21"/>
      <c r="BG50" s="21"/>
      <c r="BH50" s="21"/>
      <c r="BI50" s="21"/>
      <c r="BJ50" s="21"/>
      <c r="BK50" s="21"/>
      <c r="BL50" s="21"/>
      <c r="BM50" s="21"/>
      <c r="BN50" s="21"/>
      <c r="BO50" s="21"/>
      <c r="BP50" s="21"/>
      <c r="BQ50" s="21"/>
      <c r="BR50" s="21"/>
      <c r="BS50" s="21"/>
      <c r="BT50" s="21"/>
      <c r="BU50" s="21"/>
      <c r="BV50" s="21"/>
      <c r="BW50" s="21"/>
      <c r="BX50" s="21"/>
      <c r="BY50" s="21"/>
      <c r="BZ50" s="21"/>
      <c r="CA50" s="21"/>
      <c r="CB50" s="21"/>
      <c r="CC50" s="21"/>
      <c r="CD50" s="21"/>
      <c r="CE50" s="21"/>
      <c r="CF50" s="21"/>
      <c r="CG50" s="21"/>
      <c r="CH50" s="21"/>
      <c r="CI50" s="21"/>
      <c r="CJ50" s="21"/>
      <c r="CK50" s="21"/>
      <c r="CL50" s="21"/>
      <c r="CM50" s="21"/>
      <c r="CN50" s="21"/>
      <c r="CO50" s="21"/>
      <c r="CP50" s="21"/>
      <c r="CQ50" s="21"/>
      <c r="CR50" s="21"/>
      <c r="CS50" s="21"/>
      <c r="CT50" s="21"/>
      <c r="CU50" s="21"/>
      <c r="CV50" s="21"/>
      <c r="CW50" s="21"/>
      <c r="CX50" s="21"/>
      <c r="CY50" s="21"/>
      <c r="CZ50" s="21"/>
      <c r="DA50" s="21"/>
      <c r="DB50" s="21"/>
      <c r="DC50" s="21"/>
      <c r="DD50" s="21"/>
      <c r="DE50" s="21"/>
      <c r="DF50" s="123"/>
      <c r="DG50" s="123"/>
      <c r="DH50" s="18"/>
      <c r="DI50" s="18"/>
      <c r="DJ50" s="18"/>
      <c r="DK50" s="18"/>
      <c r="DL50" s="18"/>
      <c r="DM50" s="18"/>
      <c r="DN50" s="18"/>
      <c r="DO50" s="18"/>
      <c r="DP50" s="18"/>
      <c r="DQ50" s="18"/>
      <c r="DR50" s="18"/>
      <c r="DS50" s="18"/>
      <c r="DT50" s="18"/>
      <c r="DU50" s="18"/>
      <c r="DV50" s="18"/>
      <c r="DW50" s="18"/>
      <c r="DX50" s="18"/>
      <c r="DY50" s="18"/>
      <c r="DZ50" s="18"/>
      <c r="EA50" s="18"/>
      <c r="EB50" s="18"/>
      <c r="EC50" s="18"/>
      <c r="ED50" s="18"/>
      <c r="EE50" s="18"/>
      <c r="EF50" s="18"/>
      <c r="EG50" s="18"/>
      <c r="EH50" s="18"/>
      <c r="EI50" s="18"/>
      <c r="EJ50" s="18"/>
      <c r="EK50" s="18"/>
      <c r="EL50" s="18"/>
      <c r="EM50" s="18"/>
      <c r="EN50" s="18"/>
      <c r="EO50" s="18"/>
      <c r="EP50" s="18"/>
      <c r="EQ50" s="18"/>
      <c r="ER50" s="18"/>
      <c r="ES50" s="18"/>
      <c r="ET50" s="18"/>
      <c r="EU50" s="18"/>
      <c r="EV50" s="18"/>
      <c r="EW50" s="18"/>
      <c r="EX50" s="18"/>
      <c r="EY50" s="18"/>
      <c r="EZ50" s="18"/>
      <c r="FA50" s="18"/>
      <c r="FB50" s="18"/>
      <c r="FC50" s="18"/>
      <c r="FD50" s="18"/>
      <c r="FE50" s="18"/>
      <c r="FF50" s="18"/>
      <c r="FG50" s="18"/>
      <c r="FH50" s="18"/>
      <c r="FI50" s="18"/>
      <c r="FJ50" s="18"/>
      <c r="FK50" s="18"/>
      <c r="FL50" s="18"/>
      <c r="FM50" s="18"/>
      <c r="FN50" s="18"/>
      <c r="FO50" s="18"/>
    </row>
    <row r="51" ht="15.75" customHeight="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c r="AA51" s="21"/>
      <c r="AB51" s="21"/>
      <c r="AC51" s="21"/>
      <c r="AD51" s="21"/>
      <c r="AE51" s="21"/>
      <c r="AF51" s="21"/>
      <c r="AG51" s="21"/>
      <c r="AH51" s="21"/>
      <c r="AI51" s="21"/>
      <c r="AJ51" s="21"/>
      <c r="AK51" s="21"/>
      <c r="AL51" s="21"/>
      <c r="AM51" s="21"/>
      <c r="AN51" s="21"/>
      <c r="AO51" s="21"/>
      <c r="AP51" s="21"/>
      <c r="AQ51" s="21"/>
      <c r="AR51" s="21"/>
      <c r="AS51" s="21"/>
      <c r="AT51" s="21"/>
      <c r="AU51" s="21"/>
      <c r="AV51" s="21"/>
      <c r="AW51" s="21"/>
      <c r="AX51" s="21"/>
      <c r="AY51" s="21"/>
      <c r="AZ51" s="21"/>
      <c r="BA51" s="21"/>
      <c r="BB51" s="21"/>
      <c r="BC51" s="21"/>
      <c r="BD51" s="21"/>
      <c r="BE51" s="21"/>
      <c r="BF51" s="21"/>
      <c r="BG51" s="21"/>
      <c r="BH51" s="21"/>
      <c r="BI51" s="21"/>
      <c r="BJ51" s="21"/>
      <c r="BK51" s="21"/>
      <c r="BL51" s="21"/>
      <c r="BM51" s="21"/>
      <c r="BN51" s="21"/>
      <c r="BO51" s="21"/>
      <c r="BP51" s="21"/>
      <c r="BQ51" s="21"/>
      <c r="BR51" s="21"/>
      <c r="BS51" s="21"/>
      <c r="BT51" s="21"/>
      <c r="BU51" s="21"/>
      <c r="BV51" s="21"/>
      <c r="BW51" s="21"/>
      <c r="BX51" s="21"/>
      <c r="BY51" s="21"/>
      <c r="BZ51" s="21"/>
      <c r="CA51" s="21"/>
      <c r="CB51" s="21"/>
      <c r="CC51" s="21"/>
      <c r="CD51" s="21"/>
      <c r="CE51" s="21"/>
      <c r="CF51" s="21"/>
      <c r="CG51" s="21"/>
      <c r="CH51" s="21"/>
      <c r="CI51" s="21"/>
      <c r="CJ51" s="21"/>
      <c r="CK51" s="21"/>
      <c r="CL51" s="21"/>
      <c r="CM51" s="21"/>
      <c r="CN51" s="21"/>
      <c r="CO51" s="21"/>
      <c r="CP51" s="21"/>
      <c r="CQ51" s="21"/>
      <c r="CR51" s="21"/>
      <c r="CS51" s="21"/>
      <c r="CT51" s="21"/>
      <c r="CU51" s="21"/>
      <c r="CV51" s="21"/>
      <c r="CW51" s="21"/>
      <c r="CX51" s="21"/>
      <c r="CY51" s="21"/>
      <c r="CZ51" s="21"/>
      <c r="DA51" s="21"/>
      <c r="DB51" s="21"/>
      <c r="DC51" s="21"/>
      <c r="DD51" s="21"/>
      <c r="DE51" s="21"/>
      <c r="DF51" s="123"/>
      <c r="DG51" s="123"/>
      <c r="DH51" s="123"/>
      <c r="DI51" s="123"/>
      <c r="DJ51" s="18"/>
      <c r="DK51" s="18"/>
      <c r="DL51" s="18"/>
      <c r="DM51" s="18"/>
      <c r="DN51" s="18"/>
      <c r="DO51" s="18"/>
      <c r="DP51" s="18"/>
      <c r="DQ51" s="18"/>
      <c r="DR51" s="18"/>
      <c r="DS51" s="18"/>
      <c r="DT51" s="18"/>
      <c r="DU51" s="18"/>
      <c r="DV51" s="18"/>
      <c r="DW51" s="18"/>
      <c r="DX51" s="18"/>
      <c r="DY51" s="18"/>
      <c r="DZ51" s="18"/>
      <c r="EA51" s="18"/>
      <c r="EB51" s="18"/>
      <c r="EC51" s="18"/>
      <c r="ED51" s="18"/>
      <c r="EE51" s="18"/>
      <c r="EF51" s="18"/>
      <c r="EG51" s="18"/>
      <c r="EH51" s="18"/>
      <c r="EI51" s="18"/>
      <c r="EJ51" s="18"/>
      <c r="EK51" s="18"/>
      <c r="EL51" s="18"/>
      <c r="EM51" s="18"/>
      <c r="EN51" s="18"/>
      <c r="EO51" s="18"/>
      <c r="EP51" s="18"/>
      <c r="EQ51" s="18"/>
      <c r="ER51" s="18"/>
      <c r="ES51" s="18"/>
      <c r="ET51" s="18"/>
      <c r="EU51" s="18"/>
      <c r="EV51" s="18"/>
      <c r="EW51" s="18"/>
      <c r="EX51" s="18"/>
      <c r="EY51" s="18"/>
      <c r="EZ51" s="18"/>
      <c r="FA51" s="18"/>
      <c r="FB51" s="18"/>
      <c r="FC51" s="18"/>
      <c r="FD51" s="18"/>
      <c r="FE51" s="18"/>
      <c r="FF51" s="18"/>
      <c r="FG51" s="18"/>
      <c r="FH51" s="18"/>
      <c r="FI51" s="18"/>
      <c r="FJ51" s="18"/>
      <c r="FK51" s="18"/>
      <c r="FL51" s="18"/>
      <c r="FM51" s="18"/>
      <c r="FN51" s="18"/>
      <c r="FO51" s="18"/>
    </row>
    <row r="52" ht="15.75" customHeight="1">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c r="AA52" s="21"/>
      <c r="AB52" s="21"/>
      <c r="AC52" s="21"/>
      <c r="AD52" s="21"/>
      <c r="AE52" s="21"/>
      <c r="AF52" s="21"/>
      <c r="AG52" s="21"/>
      <c r="AH52" s="21"/>
      <c r="AI52" s="21"/>
      <c r="AJ52" s="21"/>
      <c r="AK52" s="21"/>
      <c r="AL52" s="21"/>
      <c r="AM52" s="21"/>
      <c r="AN52" s="21"/>
      <c r="AO52" s="21"/>
      <c r="AP52" s="21"/>
      <c r="AQ52" s="21"/>
      <c r="AR52" s="21"/>
      <c r="AS52" s="21"/>
      <c r="AT52" s="21"/>
      <c r="AU52" s="21"/>
      <c r="AV52" s="21"/>
      <c r="AW52" s="21"/>
      <c r="AX52" s="21"/>
      <c r="AY52" s="21"/>
      <c r="AZ52" s="21"/>
      <c r="BA52" s="21"/>
      <c r="BB52" s="21"/>
      <c r="BC52" s="21"/>
      <c r="BD52" s="21"/>
      <c r="BE52" s="21"/>
      <c r="BF52" s="21"/>
      <c r="BG52" s="21"/>
      <c r="BH52" s="21"/>
      <c r="BI52" s="21"/>
      <c r="BJ52" s="21"/>
      <c r="BK52" s="21"/>
      <c r="BL52" s="21"/>
      <c r="BM52" s="21"/>
      <c r="BN52" s="21"/>
      <c r="BO52" s="21"/>
      <c r="BP52" s="21"/>
      <c r="BQ52" s="21"/>
      <c r="BR52" s="21"/>
      <c r="BS52" s="21"/>
      <c r="BT52" s="21"/>
      <c r="BU52" s="21"/>
      <c r="BV52" s="21"/>
      <c r="BW52" s="21"/>
      <c r="BX52" s="21"/>
      <c r="BY52" s="21"/>
      <c r="BZ52" s="21"/>
      <c r="CA52" s="21"/>
      <c r="CB52" s="21"/>
      <c r="CC52" s="21"/>
      <c r="CD52" s="21"/>
      <c r="CE52" s="21"/>
      <c r="CF52" s="21"/>
      <c r="CG52" s="21"/>
      <c r="CH52" s="21"/>
      <c r="CI52" s="21"/>
      <c r="CJ52" s="21"/>
      <c r="CK52" s="21"/>
      <c r="CL52" s="21"/>
      <c r="CM52" s="21"/>
      <c r="CN52" s="21"/>
      <c r="CO52" s="21"/>
      <c r="CP52" s="21"/>
      <c r="CQ52" s="21"/>
      <c r="CR52" s="21"/>
      <c r="CS52" s="21"/>
      <c r="CT52" s="21"/>
      <c r="CU52" s="21"/>
      <c r="CV52" s="21"/>
      <c r="CW52" s="21"/>
      <c r="CX52" s="21"/>
      <c r="CY52" s="21"/>
      <c r="CZ52" s="21"/>
      <c r="DA52" s="21"/>
      <c r="DB52" s="21"/>
      <c r="DC52" s="21"/>
      <c r="DD52" s="21"/>
      <c r="DE52" s="21"/>
      <c r="DF52" s="123"/>
      <c r="DG52" s="123"/>
      <c r="DH52" s="123"/>
      <c r="DI52" s="123"/>
      <c r="DJ52" s="18"/>
      <c r="DK52" s="18"/>
      <c r="DL52" s="18"/>
      <c r="DM52" s="18"/>
      <c r="DN52" s="18"/>
      <c r="DO52" s="18"/>
      <c r="DP52" s="18"/>
      <c r="DQ52" s="18"/>
      <c r="DR52" s="18"/>
      <c r="DS52" s="18"/>
      <c r="DT52" s="18"/>
      <c r="DU52" s="18"/>
      <c r="DV52" s="18"/>
      <c r="DW52" s="18"/>
      <c r="DX52" s="18"/>
      <c r="DY52" s="18"/>
      <c r="DZ52" s="18"/>
      <c r="EA52" s="18"/>
      <c r="EB52" s="18"/>
      <c r="EC52" s="18"/>
      <c r="ED52" s="18"/>
      <c r="EE52" s="18"/>
      <c r="EF52" s="18"/>
      <c r="EG52" s="18"/>
      <c r="EH52" s="18"/>
      <c r="EI52" s="18"/>
      <c r="EJ52" s="18"/>
      <c r="EK52" s="18"/>
      <c r="EL52" s="18"/>
      <c r="EM52" s="18"/>
      <c r="EN52" s="18"/>
      <c r="EO52" s="18"/>
      <c r="EP52" s="18"/>
      <c r="EQ52" s="18"/>
      <c r="ER52" s="18"/>
      <c r="ES52" s="18"/>
      <c r="ET52" s="18"/>
      <c r="EU52" s="18"/>
      <c r="EV52" s="18"/>
      <c r="EW52" s="18"/>
      <c r="EX52" s="18"/>
      <c r="EY52" s="18"/>
      <c r="EZ52" s="18"/>
      <c r="FA52" s="18"/>
      <c r="FB52" s="18"/>
      <c r="FC52" s="18"/>
      <c r="FD52" s="18"/>
      <c r="FE52" s="18"/>
      <c r="FF52" s="18"/>
      <c r="FG52" s="18"/>
      <c r="FH52" s="18"/>
      <c r="FI52" s="18"/>
      <c r="FJ52" s="18"/>
      <c r="FK52" s="18"/>
      <c r="FL52" s="18"/>
      <c r="FM52" s="18"/>
      <c r="FN52" s="18"/>
      <c r="FO52" s="18"/>
    </row>
    <row r="53" ht="15.75" customHeight="1">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c r="AA53" s="21"/>
      <c r="AB53" s="21"/>
      <c r="AC53" s="21"/>
      <c r="AD53" s="21"/>
      <c r="AE53" s="21"/>
      <c r="AF53" s="21"/>
      <c r="AG53" s="21"/>
      <c r="AH53" s="21"/>
      <c r="AI53" s="21"/>
      <c r="AJ53" s="21"/>
      <c r="AK53" s="21"/>
      <c r="AL53" s="21"/>
      <c r="AM53" s="21"/>
      <c r="AN53" s="21"/>
      <c r="AO53" s="21"/>
      <c r="AP53" s="21"/>
      <c r="AQ53" s="21"/>
      <c r="AR53" s="21"/>
      <c r="AS53" s="21"/>
      <c r="AT53" s="21"/>
      <c r="AU53" s="21"/>
      <c r="AV53" s="21"/>
      <c r="AW53" s="21"/>
      <c r="AX53" s="21"/>
      <c r="AY53" s="21"/>
      <c r="AZ53" s="21"/>
      <c r="BA53" s="21"/>
      <c r="BB53" s="21"/>
      <c r="BC53" s="21"/>
      <c r="BD53" s="21"/>
      <c r="BE53" s="21"/>
      <c r="BF53" s="21"/>
      <c r="BG53" s="21"/>
      <c r="BH53" s="21"/>
      <c r="BI53" s="21"/>
      <c r="BJ53" s="21"/>
      <c r="BK53" s="21"/>
      <c r="BL53" s="21"/>
      <c r="BM53" s="21"/>
      <c r="BN53" s="21"/>
      <c r="BO53" s="21"/>
      <c r="BP53" s="21"/>
      <c r="BQ53" s="21"/>
      <c r="BR53" s="21"/>
      <c r="BS53" s="21"/>
      <c r="BT53" s="21"/>
      <c r="BU53" s="21"/>
      <c r="BV53" s="21"/>
      <c r="BW53" s="21"/>
      <c r="BX53" s="21"/>
      <c r="BY53" s="21"/>
      <c r="BZ53" s="21"/>
      <c r="CA53" s="21"/>
      <c r="CB53" s="21"/>
      <c r="CC53" s="21"/>
      <c r="CD53" s="21"/>
      <c r="CE53" s="21"/>
      <c r="CF53" s="21"/>
      <c r="CG53" s="21"/>
      <c r="CH53" s="21"/>
      <c r="CI53" s="21"/>
      <c r="CJ53" s="21"/>
      <c r="CK53" s="21"/>
      <c r="CL53" s="21"/>
      <c r="CM53" s="21"/>
      <c r="CN53" s="21"/>
      <c r="CO53" s="21"/>
      <c r="CP53" s="21"/>
      <c r="CQ53" s="21"/>
      <c r="CR53" s="21"/>
      <c r="CS53" s="21"/>
      <c r="CT53" s="21"/>
      <c r="CU53" s="21"/>
      <c r="CV53" s="21"/>
      <c r="CW53" s="21"/>
      <c r="CX53" s="21"/>
      <c r="CY53" s="21"/>
      <c r="CZ53" s="21"/>
      <c r="DA53" s="21"/>
      <c r="DB53" s="21"/>
      <c r="DC53" s="21"/>
      <c r="DD53" s="21"/>
      <c r="DE53" s="21"/>
      <c r="DF53" s="123"/>
      <c r="DG53" s="153"/>
      <c r="DH53" s="123"/>
      <c r="DI53" s="153"/>
      <c r="DJ53" s="123"/>
      <c r="DK53" s="123"/>
      <c r="DL53" s="18"/>
      <c r="DM53" s="18"/>
      <c r="DN53" s="18"/>
      <c r="DO53" s="18"/>
      <c r="DP53" s="18"/>
      <c r="DQ53" s="18"/>
      <c r="DR53" s="18"/>
      <c r="DS53" s="18"/>
      <c r="DT53" s="18"/>
      <c r="DU53" s="18"/>
      <c r="DV53" s="18"/>
      <c r="DW53" s="18"/>
      <c r="DX53" s="18"/>
      <c r="DY53" s="18"/>
      <c r="DZ53" s="18"/>
      <c r="EA53" s="18"/>
      <c r="EB53" s="18"/>
      <c r="EC53" s="18"/>
      <c r="ED53" s="18"/>
      <c r="EE53" s="18"/>
      <c r="EF53" s="18"/>
      <c r="EG53" s="18"/>
      <c r="EH53" s="18"/>
      <c r="EI53" s="18"/>
      <c r="EJ53" s="18"/>
      <c r="EK53" s="18"/>
      <c r="EL53" s="18"/>
      <c r="EM53" s="18"/>
      <c r="EN53" s="18"/>
      <c r="EO53" s="18"/>
      <c r="EP53" s="18"/>
      <c r="EQ53" s="18"/>
      <c r="ER53" s="18"/>
      <c r="ES53" s="18"/>
      <c r="ET53" s="18"/>
      <c r="EU53" s="18"/>
      <c r="EV53" s="18"/>
      <c r="EW53" s="18"/>
      <c r="EX53" s="18"/>
      <c r="EY53" s="18"/>
      <c r="EZ53" s="18"/>
      <c r="FA53" s="18"/>
      <c r="FB53" s="18"/>
      <c r="FC53" s="18"/>
      <c r="FD53" s="18"/>
      <c r="FE53" s="18"/>
      <c r="FF53" s="18"/>
      <c r="FG53" s="18"/>
      <c r="FH53" s="18"/>
      <c r="FI53" s="18"/>
      <c r="FJ53" s="18"/>
      <c r="FK53" s="18"/>
      <c r="FL53" s="18"/>
      <c r="FM53" s="18"/>
      <c r="FN53" s="18"/>
      <c r="FO53" s="18"/>
    </row>
    <row r="54" ht="15.75" customHeight="1">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c r="AA54" s="21"/>
      <c r="AB54" s="21"/>
      <c r="AC54" s="21"/>
      <c r="AD54" s="21"/>
      <c r="AE54" s="21"/>
      <c r="AF54" s="21"/>
      <c r="AG54" s="21"/>
      <c r="AH54" s="21"/>
      <c r="AI54" s="21"/>
      <c r="AJ54" s="21"/>
      <c r="AK54" s="21"/>
      <c r="AL54" s="21"/>
      <c r="AM54" s="21"/>
      <c r="AN54" s="21"/>
      <c r="AO54" s="21"/>
      <c r="AP54" s="21"/>
      <c r="AQ54" s="21"/>
      <c r="AR54" s="21"/>
      <c r="AS54" s="21"/>
      <c r="AT54" s="21"/>
      <c r="AU54" s="21"/>
      <c r="AV54" s="21"/>
      <c r="AW54" s="21"/>
      <c r="AX54" s="21"/>
      <c r="AY54" s="21"/>
      <c r="AZ54" s="21"/>
      <c r="BA54" s="21"/>
      <c r="BB54" s="21"/>
      <c r="BC54" s="21"/>
      <c r="BD54" s="21"/>
      <c r="BE54" s="21"/>
      <c r="BF54" s="21"/>
      <c r="BG54" s="21"/>
      <c r="BH54" s="21"/>
      <c r="BI54" s="21"/>
      <c r="BJ54" s="21"/>
      <c r="BK54" s="21"/>
      <c r="BL54" s="21"/>
      <c r="BM54" s="21"/>
      <c r="BN54" s="21"/>
      <c r="BO54" s="21"/>
      <c r="BP54" s="21"/>
      <c r="BQ54" s="21"/>
      <c r="BR54" s="21"/>
      <c r="BS54" s="21"/>
      <c r="BT54" s="21"/>
      <c r="BU54" s="21"/>
      <c r="BV54" s="21"/>
      <c r="BW54" s="21"/>
      <c r="BX54" s="21"/>
      <c r="BY54" s="21"/>
      <c r="BZ54" s="21"/>
      <c r="CA54" s="21"/>
      <c r="CB54" s="21"/>
      <c r="CC54" s="21"/>
      <c r="CD54" s="21"/>
      <c r="CE54" s="21"/>
      <c r="CF54" s="21"/>
      <c r="CG54" s="21"/>
      <c r="CH54" s="21"/>
      <c r="CI54" s="21"/>
      <c r="CJ54" s="21"/>
      <c r="CK54" s="21"/>
      <c r="CL54" s="21"/>
      <c r="CM54" s="21"/>
      <c r="CN54" s="21"/>
      <c r="CO54" s="21"/>
      <c r="CP54" s="21"/>
      <c r="CQ54" s="21"/>
      <c r="CR54" s="21"/>
      <c r="CS54" s="21"/>
      <c r="CT54" s="21"/>
      <c r="CU54" s="21"/>
      <c r="CV54" s="21"/>
      <c r="CW54" s="21"/>
      <c r="CX54" s="21"/>
      <c r="CY54" s="21"/>
      <c r="CZ54" s="21"/>
      <c r="DA54" s="21"/>
      <c r="DB54" s="21"/>
      <c r="DC54" s="21"/>
      <c r="DD54" s="21"/>
      <c r="DE54" s="21"/>
      <c r="DF54" s="123"/>
      <c r="DG54" s="153"/>
      <c r="DH54" s="123"/>
      <c r="DI54" s="153"/>
      <c r="DJ54" s="123"/>
      <c r="DK54" s="123"/>
      <c r="DL54" s="123"/>
      <c r="DM54" s="123"/>
      <c r="DN54" s="18"/>
      <c r="DO54" s="18"/>
      <c r="DP54" s="18"/>
      <c r="DQ54" s="18"/>
      <c r="DR54" s="18"/>
      <c r="DS54" s="18"/>
      <c r="DT54" s="18"/>
      <c r="DU54" s="18"/>
      <c r="DV54" s="18"/>
      <c r="DW54" s="18"/>
      <c r="DX54" s="18"/>
      <c r="DY54" s="18"/>
      <c r="DZ54" s="18"/>
      <c r="EA54" s="18"/>
      <c r="EB54" s="18"/>
      <c r="EC54" s="18"/>
      <c r="ED54" s="18"/>
      <c r="EE54" s="18"/>
      <c r="EF54" s="18"/>
      <c r="EG54" s="18"/>
      <c r="EH54" s="18"/>
      <c r="EI54" s="18"/>
      <c r="EJ54" s="18"/>
      <c r="EK54" s="18"/>
      <c r="EL54" s="18"/>
      <c r="EM54" s="18"/>
      <c r="EN54" s="18"/>
      <c r="EO54" s="18"/>
      <c r="EP54" s="18"/>
      <c r="EQ54" s="18"/>
      <c r="ER54" s="18"/>
      <c r="ES54" s="18"/>
      <c r="ET54" s="18"/>
      <c r="EU54" s="18"/>
      <c r="EV54" s="18"/>
      <c r="EW54" s="18"/>
      <c r="EX54" s="18"/>
      <c r="EY54" s="18"/>
      <c r="EZ54" s="18"/>
      <c r="FA54" s="18"/>
      <c r="FB54" s="18"/>
      <c r="FC54" s="18"/>
      <c r="FD54" s="18"/>
      <c r="FE54" s="18"/>
      <c r="FF54" s="18"/>
      <c r="FG54" s="18"/>
      <c r="FH54" s="18"/>
      <c r="FI54" s="18"/>
      <c r="FJ54" s="18"/>
      <c r="FK54" s="18"/>
      <c r="FL54" s="18"/>
      <c r="FM54" s="18"/>
      <c r="FN54" s="18"/>
      <c r="FO54" s="18"/>
    </row>
    <row r="55" ht="15.75" customHeight="1">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c r="AA55" s="21"/>
      <c r="AB55" s="21"/>
      <c r="AC55" s="21"/>
      <c r="AD55" s="21"/>
      <c r="AE55" s="21"/>
      <c r="AF55" s="21"/>
      <c r="AG55" s="21"/>
      <c r="AH55" s="21"/>
      <c r="AI55" s="21"/>
      <c r="AJ55" s="21"/>
      <c r="AK55" s="21"/>
      <c r="AL55" s="21"/>
      <c r="AM55" s="21"/>
      <c r="AN55" s="21"/>
      <c r="AO55" s="21"/>
      <c r="AP55" s="21"/>
      <c r="AQ55" s="21"/>
      <c r="AR55" s="21"/>
      <c r="AS55" s="21"/>
      <c r="AT55" s="21"/>
      <c r="AU55" s="21"/>
      <c r="AV55" s="21"/>
      <c r="AW55" s="21"/>
      <c r="AX55" s="21"/>
      <c r="AY55" s="21"/>
      <c r="AZ55" s="21"/>
      <c r="BA55" s="21"/>
      <c r="BB55" s="21"/>
      <c r="BC55" s="21"/>
      <c r="BD55" s="21"/>
      <c r="BE55" s="21"/>
      <c r="BF55" s="21"/>
      <c r="BG55" s="21"/>
      <c r="BH55" s="21"/>
      <c r="BI55" s="21"/>
      <c r="BJ55" s="21"/>
      <c r="BK55" s="21"/>
      <c r="BL55" s="21"/>
      <c r="BM55" s="21"/>
      <c r="BN55" s="21"/>
      <c r="BO55" s="21"/>
      <c r="BP55" s="21"/>
      <c r="BQ55" s="21"/>
      <c r="BR55" s="21"/>
      <c r="BS55" s="21"/>
      <c r="BT55" s="21"/>
      <c r="BU55" s="21"/>
      <c r="BV55" s="21"/>
      <c r="BW55" s="21"/>
      <c r="BX55" s="21"/>
      <c r="BY55" s="21"/>
      <c r="BZ55" s="21"/>
      <c r="CA55" s="21"/>
      <c r="CB55" s="21"/>
      <c r="CC55" s="21"/>
      <c r="CD55" s="21"/>
      <c r="CE55" s="21"/>
      <c r="CF55" s="21"/>
      <c r="CG55" s="21"/>
      <c r="CH55" s="21"/>
      <c r="CI55" s="21"/>
      <c r="CJ55" s="21"/>
      <c r="CK55" s="21"/>
      <c r="CL55" s="21"/>
      <c r="CM55" s="21"/>
      <c r="CN55" s="21"/>
      <c r="CO55" s="21"/>
      <c r="CP55" s="21"/>
      <c r="CQ55" s="21"/>
      <c r="CR55" s="21"/>
      <c r="CS55" s="21"/>
      <c r="CT55" s="21"/>
      <c r="CU55" s="21"/>
      <c r="CV55" s="21"/>
      <c r="CW55" s="21"/>
      <c r="CX55" s="21"/>
      <c r="CY55" s="21"/>
      <c r="CZ55" s="21"/>
      <c r="DA55" s="21"/>
      <c r="DB55" s="21"/>
      <c r="DC55" s="21"/>
      <c r="DD55" s="21"/>
      <c r="DE55" s="21"/>
      <c r="DF55" s="123"/>
      <c r="DG55" s="153"/>
      <c r="DH55" s="123"/>
      <c r="DI55" s="153"/>
      <c r="DJ55" s="123"/>
      <c r="DK55" s="123"/>
      <c r="DL55" s="123"/>
      <c r="DM55" s="123"/>
      <c r="DN55" s="18"/>
      <c r="DO55" s="18"/>
      <c r="DP55" s="18"/>
      <c r="DQ55" s="18"/>
      <c r="DR55" s="18"/>
      <c r="DS55" s="18"/>
      <c r="DT55" s="18"/>
      <c r="DU55" s="18"/>
      <c r="DV55" s="18"/>
      <c r="DW55" s="18"/>
      <c r="DX55" s="18"/>
      <c r="DY55" s="18"/>
      <c r="DZ55" s="18"/>
      <c r="EA55" s="18"/>
      <c r="EB55" s="18"/>
      <c r="EC55" s="18"/>
      <c r="ED55" s="18"/>
      <c r="EE55" s="18"/>
      <c r="EF55" s="18"/>
      <c r="EG55" s="18"/>
      <c r="EH55" s="18"/>
      <c r="EI55" s="18"/>
      <c r="EJ55" s="18"/>
      <c r="EK55" s="18"/>
      <c r="EL55" s="18"/>
      <c r="EM55" s="18"/>
      <c r="EN55" s="18"/>
      <c r="EO55" s="18"/>
      <c r="EP55" s="18"/>
      <c r="EQ55" s="18"/>
      <c r="ER55" s="18"/>
      <c r="ES55" s="18"/>
      <c r="ET55" s="18"/>
      <c r="EU55" s="18"/>
      <c r="EV55" s="18"/>
      <c r="EW55" s="18"/>
      <c r="EX55" s="18"/>
      <c r="EY55" s="18"/>
      <c r="EZ55" s="18"/>
      <c r="FA55" s="18"/>
      <c r="FB55" s="18"/>
      <c r="FC55" s="18"/>
      <c r="FD55" s="18"/>
      <c r="FE55" s="18"/>
      <c r="FF55" s="18"/>
      <c r="FG55" s="18"/>
      <c r="FH55" s="18"/>
      <c r="FI55" s="18"/>
      <c r="FJ55" s="18"/>
      <c r="FK55" s="18"/>
      <c r="FL55" s="18"/>
      <c r="FM55" s="18"/>
      <c r="FN55" s="18"/>
      <c r="FO55" s="18"/>
    </row>
    <row r="56" ht="15.75" customHeight="1">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c r="AA56" s="21"/>
      <c r="AB56" s="21"/>
      <c r="AC56" s="21"/>
      <c r="AD56" s="21"/>
      <c r="AE56" s="21"/>
      <c r="AF56" s="21"/>
      <c r="AG56" s="21"/>
      <c r="AH56" s="21"/>
      <c r="AI56" s="21"/>
      <c r="AJ56" s="21"/>
      <c r="AK56" s="21"/>
      <c r="AL56" s="21"/>
      <c r="AM56" s="21"/>
      <c r="AN56" s="21"/>
      <c r="AO56" s="21"/>
      <c r="AP56" s="21"/>
      <c r="AQ56" s="21"/>
      <c r="AR56" s="21"/>
      <c r="AS56" s="21"/>
      <c r="AT56" s="21"/>
      <c r="AU56" s="21"/>
      <c r="AV56" s="21"/>
      <c r="AW56" s="21"/>
      <c r="AX56" s="21"/>
      <c r="AY56" s="21"/>
      <c r="AZ56" s="21"/>
      <c r="BA56" s="21"/>
      <c r="BB56" s="21"/>
      <c r="BC56" s="21"/>
      <c r="BD56" s="21"/>
      <c r="BE56" s="21"/>
      <c r="BF56" s="21"/>
      <c r="BG56" s="21"/>
      <c r="BH56" s="21"/>
      <c r="BI56" s="21"/>
      <c r="BJ56" s="21"/>
      <c r="BK56" s="21"/>
      <c r="BL56" s="21"/>
      <c r="BM56" s="21"/>
      <c r="BN56" s="21"/>
      <c r="BO56" s="21"/>
      <c r="BP56" s="21"/>
      <c r="BQ56" s="21"/>
      <c r="BR56" s="21"/>
      <c r="BS56" s="21"/>
      <c r="BT56" s="21"/>
      <c r="BU56" s="21"/>
      <c r="BV56" s="21"/>
      <c r="BW56" s="21"/>
      <c r="BX56" s="21"/>
      <c r="BY56" s="21"/>
      <c r="BZ56" s="21"/>
      <c r="CA56" s="21"/>
      <c r="CB56" s="21"/>
      <c r="CC56" s="21"/>
      <c r="CD56" s="21"/>
      <c r="CE56" s="21"/>
      <c r="CF56" s="21"/>
      <c r="CG56" s="21"/>
      <c r="CH56" s="21"/>
      <c r="CI56" s="21"/>
      <c r="CJ56" s="21"/>
      <c r="CK56" s="21"/>
      <c r="CL56" s="21"/>
      <c r="CM56" s="21"/>
      <c r="CN56" s="21"/>
      <c r="CO56" s="21"/>
      <c r="CP56" s="21"/>
      <c r="CQ56" s="21"/>
      <c r="CR56" s="21"/>
      <c r="CS56" s="21"/>
      <c r="CT56" s="21"/>
      <c r="CU56" s="21"/>
      <c r="CV56" s="21"/>
      <c r="CW56" s="21"/>
      <c r="CX56" s="21"/>
      <c r="CY56" s="21"/>
      <c r="CZ56" s="21"/>
      <c r="DA56" s="21"/>
      <c r="DB56" s="21"/>
      <c r="DC56" s="21"/>
      <c r="DD56" s="21"/>
      <c r="DE56" s="21"/>
      <c r="DF56" s="123"/>
      <c r="DG56" s="153"/>
      <c r="DH56" s="123"/>
      <c r="DI56" s="153"/>
      <c r="DJ56" s="123"/>
      <c r="DK56" s="123"/>
      <c r="DL56" s="123"/>
      <c r="DM56" s="123"/>
      <c r="DN56" s="18"/>
      <c r="DO56" s="18"/>
      <c r="DP56" s="18"/>
      <c r="DQ56" s="18"/>
      <c r="DR56" s="18"/>
      <c r="DS56" s="18"/>
      <c r="DT56" s="18"/>
      <c r="DU56" s="18"/>
      <c r="DV56" s="18"/>
      <c r="DW56" s="18"/>
      <c r="DX56" s="18"/>
      <c r="DY56" s="18"/>
      <c r="DZ56" s="18"/>
      <c r="EA56" s="18"/>
      <c r="EB56" s="18"/>
      <c r="EC56" s="18"/>
      <c r="ED56" s="18"/>
      <c r="EE56" s="18"/>
      <c r="EF56" s="18"/>
      <c r="EG56" s="18"/>
      <c r="EH56" s="18"/>
      <c r="EI56" s="18"/>
      <c r="EJ56" s="18"/>
      <c r="EK56" s="18"/>
      <c r="EL56" s="18"/>
      <c r="EM56" s="18"/>
      <c r="EN56" s="18"/>
      <c r="EO56" s="18"/>
      <c r="EP56" s="18"/>
      <c r="EQ56" s="18"/>
      <c r="ER56" s="18"/>
      <c r="ES56" s="18"/>
      <c r="ET56" s="18"/>
      <c r="EU56" s="18"/>
      <c r="EV56" s="18"/>
      <c r="EW56" s="18"/>
      <c r="EX56" s="18"/>
      <c r="EY56" s="18"/>
      <c r="EZ56" s="18"/>
      <c r="FA56" s="18"/>
      <c r="FB56" s="18"/>
      <c r="FC56" s="18"/>
      <c r="FD56" s="18"/>
      <c r="FE56" s="18"/>
      <c r="FF56" s="18"/>
      <c r="FG56" s="18"/>
      <c r="FH56" s="18"/>
      <c r="FI56" s="18"/>
      <c r="FJ56" s="18"/>
      <c r="FK56" s="18"/>
      <c r="FL56" s="18"/>
      <c r="FM56" s="18"/>
      <c r="FN56" s="18"/>
      <c r="FO56" s="18"/>
    </row>
    <row r="57" ht="15.75" customHeight="1">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1"/>
      <c r="BA57" s="21"/>
      <c r="BB57" s="21"/>
      <c r="BC57" s="21"/>
      <c r="BD57" s="21"/>
      <c r="BE57" s="21"/>
      <c r="BF57" s="21"/>
      <c r="BG57" s="21"/>
      <c r="BH57" s="21"/>
      <c r="BI57" s="21"/>
      <c r="BJ57" s="21"/>
      <c r="BK57" s="21"/>
      <c r="BL57" s="21"/>
      <c r="BM57" s="21"/>
      <c r="BN57" s="21"/>
      <c r="BO57" s="21"/>
      <c r="BP57" s="21"/>
      <c r="BQ57" s="21"/>
      <c r="BR57" s="21"/>
      <c r="BS57" s="21"/>
      <c r="BT57" s="21"/>
      <c r="BU57" s="21"/>
      <c r="BV57" s="21"/>
      <c r="BW57" s="21"/>
      <c r="BX57" s="21"/>
      <c r="BY57" s="21"/>
      <c r="BZ57" s="21"/>
      <c r="CA57" s="21"/>
      <c r="CB57" s="21"/>
      <c r="CC57" s="21"/>
      <c r="CD57" s="21"/>
      <c r="CE57" s="21"/>
      <c r="CF57" s="21"/>
      <c r="CG57" s="21"/>
      <c r="CH57" s="21"/>
      <c r="CI57" s="21"/>
      <c r="CJ57" s="21"/>
      <c r="CK57" s="21"/>
      <c r="CL57" s="21"/>
      <c r="CM57" s="21"/>
      <c r="CN57" s="21"/>
      <c r="CO57" s="21"/>
      <c r="CP57" s="21"/>
      <c r="CQ57" s="21"/>
      <c r="CR57" s="21"/>
      <c r="CS57" s="21"/>
      <c r="CT57" s="21"/>
      <c r="CU57" s="21"/>
      <c r="CV57" s="21"/>
      <c r="CW57" s="21"/>
      <c r="CX57" s="21"/>
      <c r="CY57" s="21"/>
      <c r="CZ57" s="21"/>
      <c r="DA57" s="21"/>
      <c r="DB57" s="21"/>
      <c r="DC57" s="21"/>
      <c r="DD57" s="21"/>
      <c r="DE57" s="21"/>
      <c r="DF57" s="123"/>
      <c r="DG57" s="153"/>
      <c r="DH57" s="123"/>
      <c r="DI57" s="153"/>
      <c r="DJ57" s="123"/>
      <c r="DK57" s="123"/>
      <c r="DL57" s="123"/>
      <c r="DM57" s="123"/>
      <c r="DN57" s="18"/>
      <c r="DO57" s="18"/>
      <c r="DP57" s="18"/>
      <c r="DQ57" s="18"/>
      <c r="DR57" s="18"/>
      <c r="DS57" s="18"/>
      <c r="DT57" s="18"/>
      <c r="DU57" s="18"/>
      <c r="DV57" s="18"/>
      <c r="DW57" s="18"/>
      <c r="DX57" s="18"/>
      <c r="DY57" s="18"/>
      <c r="DZ57" s="18"/>
      <c r="EA57" s="18"/>
      <c r="EB57" s="18"/>
      <c r="EC57" s="18"/>
      <c r="ED57" s="18"/>
      <c r="EE57" s="18"/>
      <c r="EF57" s="18"/>
      <c r="EG57" s="18"/>
      <c r="EH57" s="18"/>
      <c r="EI57" s="18"/>
      <c r="EJ57" s="18"/>
      <c r="EK57" s="18"/>
      <c r="EL57" s="18"/>
      <c r="EM57" s="18"/>
      <c r="EN57" s="18"/>
      <c r="EO57" s="18"/>
      <c r="EP57" s="18"/>
      <c r="EQ57" s="18"/>
      <c r="ER57" s="18"/>
      <c r="ES57" s="18"/>
      <c r="ET57" s="18"/>
      <c r="EU57" s="18"/>
      <c r="EV57" s="18"/>
      <c r="EW57" s="18"/>
      <c r="EX57" s="18"/>
      <c r="EY57" s="18"/>
      <c r="EZ57" s="18"/>
      <c r="FA57" s="18"/>
      <c r="FB57" s="18"/>
      <c r="FC57" s="18"/>
      <c r="FD57" s="18"/>
      <c r="FE57" s="18"/>
      <c r="FF57" s="18"/>
      <c r="FG57" s="18"/>
      <c r="FH57" s="18"/>
      <c r="FI57" s="18"/>
      <c r="FJ57" s="18"/>
      <c r="FK57" s="18"/>
      <c r="FL57" s="18"/>
      <c r="FM57" s="18"/>
      <c r="FN57" s="18"/>
      <c r="FO57" s="18"/>
    </row>
    <row r="58" ht="15.75" customHeight="1">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21"/>
      <c r="AI58" s="21"/>
      <c r="AJ58" s="21"/>
      <c r="AK58" s="21"/>
      <c r="AL58" s="21"/>
      <c r="AM58" s="21"/>
      <c r="AN58" s="21"/>
      <c r="AO58" s="21"/>
      <c r="AP58" s="21"/>
      <c r="AQ58" s="21"/>
      <c r="AR58" s="21"/>
      <c r="AS58" s="21"/>
      <c r="AT58" s="21"/>
      <c r="AU58" s="21"/>
      <c r="AV58" s="21"/>
      <c r="AW58" s="21"/>
      <c r="AX58" s="21"/>
      <c r="AY58" s="21"/>
      <c r="AZ58" s="21"/>
      <c r="BA58" s="21"/>
      <c r="BB58" s="21"/>
      <c r="BC58" s="21"/>
      <c r="BD58" s="21"/>
      <c r="BE58" s="21"/>
      <c r="BF58" s="21"/>
      <c r="BG58" s="21"/>
      <c r="BH58" s="21"/>
      <c r="BI58" s="21"/>
      <c r="BJ58" s="21"/>
      <c r="BK58" s="21"/>
      <c r="BL58" s="21"/>
      <c r="BM58" s="21"/>
      <c r="BN58" s="21"/>
      <c r="BO58" s="21"/>
      <c r="BP58" s="21"/>
      <c r="BQ58" s="21"/>
      <c r="BR58" s="21"/>
      <c r="BS58" s="21"/>
      <c r="BT58" s="21"/>
      <c r="BU58" s="21"/>
      <c r="BV58" s="21"/>
      <c r="BW58" s="21"/>
      <c r="BX58" s="21"/>
      <c r="BY58" s="21"/>
      <c r="BZ58" s="21"/>
      <c r="CA58" s="21"/>
      <c r="CB58" s="21"/>
      <c r="CC58" s="21"/>
      <c r="CD58" s="21"/>
      <c r="CE58" s="21"/>
      <c r="CF58" s="21"/>
      <c r="CG58" s="21"/>
      <c r="CH58" s="21"/>
      <c r="CI58" s="21"/>
      <c r="CJ58" s="21"/>
      <c r="CK58" s="21"/>
      <c r="CL58" s="21"/>
      <c r="CM58" s="21"/>
      <c r="CN58" s="21"/>
      <c r="CO58" s="21"/>
      <c r="CP58" s="21"/>
      <c r="CQ58" s="21"/>
      <c r="CR58" s="21"/>
      <c r="CS58" s="21"/>
      <c r="CT58" s="21"/>
      <c r="CU58" s="21"/>
      <c r="CV58" s="21"/>
      <c r="CW58" s="21"/>
      <c r="CX58" s="21"/>
      <c r="CY58" s="21"/>
      <c r="CZ58" s="21"/>
      <c r="DA58" s="21"/>
      <c r="DB58" s="21"/>
      <c r="DC58" s="21"/>
      <c r="DD58" s="21"/>
      <c r="DE58" s="21"/>
      <c r="DF58" s="123"/>
      <c r="DG58" s="153"/>
      <c r="DH58" s="123"/>
      <c r="DI58" s="153"/>
      <c r="DJ58" s="123"/>
      <c r="DK58" s="123"/>
      <c r="DL58" s="123"/>
      <c r="DM58" s="123"/>
      <c r="DN58" s="18"/>
      <c r="DO58" s="18"/>
      <c r="DP58" s="18"/>
      <c r="DQ58" s="18"/>
      <c r="DR58" s="18"/>
      <c r="DS58" s="18"/>
      <c r="DT58" s="18"/>
      <c r="DU58" s="18"/>
      <c r="DV58" s="18"/>
      <c r="DW58" s="18"/>
      <c r="DX58" s="18"/>
      <c r="DY58" s="18"/>
      <c r="DZ58" s="18"/>
      <c r="EA58" s="18"/>
      <c r="EB58" s="18"/>
      <c r="EC58" s="18"/>
      <c r="ED58" s="18"/>
      <c r="EE58" s="18"/>
      <c r="EF58" s="18"/>
      <c r="EG58" s="18"/>
      <c r="EH58" s="18"/>
      <c r="EI58" s="18"/>
      <c r="EJ58" s="18"/>
      <c r="EK58" s="18"/>
      <c r="EL58" s="18"/>
      <c r="EM58" s="18"/>
      <c r="EN58" s="18"/>
      <c r="EO58" s="18"/>
      <c r="EP58" s="18"/>
      <c r="EQ58" s="18"/>
      <c r="ER58" s="18"/>
      <c r="ES58" s="18"/>
      <c r="ET58" s="18"/>
      <c r="EU58" s="18"/>
      <c r="EV58" s="18"/>
      <c r="EW58" s="18"/>
      <c r="EX58" s="18"/>
      <c r="EY58" s="18"/>
      <c r="EZ58" s="18"/>
      <c r="FA58" s="18"/>
      <c r="FB58" s="18"/>
      <c r="FC58" s="18"/>
      <c r="FD58" s="18"/>
      <c r="FE58" s="18"/>
      <c r="FF58" s="18"/>
      <c r="FG58" s="18"/>
      <c r="FH58" s="18"/>
      <c r="FI58" s="18"/>
      <c r="FJ58" s="18"/>
      <c r="FK58" s="18"/>
      <c r="FL58" s="18"/>
      <c r="FM58" s="18"/>
      <c r="FN58" s="18"/>
      <c r="FO58" s="18"/>
      <c r="FQ58" s="18"/>
      <c r="FR58" s="18"/>
      <c r="FS58" s="18"/>
      <c r="FT58" s="18"/>
      <c r="FU58" s="18"/>
      <c r="FV58" s="18"/>
      <c r="FW58" s="18"/>
      <c r="FX58" s="18"/>
      <c r="FY58" s="18"/>
      <c r="FZ58" s="18"/>
      <c r="GA58" s="18"/>
      <c r="GB58" s="18"/>
      <c r="GC58" s="18"/>
      <c r="GD58" s="18"/>
      <c r="GE58" s="18"/>
      <c r="GF58" s="18"/>
      <c r="GG58" s="18"/>
      <c r="GH58" s="18"/>
      <c r="GI58" s="18"/>
    </row>
    <row r="59" ht="15.75" customHeight="1">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c r="AA59" s="21"/>
      <c r="AB59" s="21"/>
      <c r="AC59" s="21"/>
      <c r="AD59" s="21"/>
      <c r="AE59" s="21"/>
      <c r="AF59" s="21"/>
      <c r="AG59" s="21"/>
      <c r="AH59" s="21"/>
      <c r="AI59" s="21"/>
      <c r="AJ59" s="21"/>
      <c r="AK59" s="21"/>
      <c r="AL59" s="21"/>
      <c r="AM59" s="21"/>
      <c r="AN59" s="21"/>
      <c r="AO59" s="21"/>
      <c r="AP59" s="21"/>
      <c r="AQ59" s="21"/>
      <c r="AR59" s="21"/>
      <c r="AS59" s="21"/>
      <c r="AT59" s="21"/>
      <c r="AU59" s="21"/>
      <c r="AV59" s="21"/>
      <c r="AW59" s="21"/>
      <c r="AX59" s="21"/>
      <c r="AY59" s="21"/>
      <c r="AZ59" s="21"/>
      <c r="BA59" s="21"/>
      <c r="BB59" s="21"/>
      <c r="BC59" s="21"/>
      <c r="BD59" s="21"/>
      <c r="BE59" s="21"/>
      <c r="BF59" s="21"/>
      <c r="BG59" s="21"/>
      <c r="BH59" s="21"/>
      <c r="BI59" s="21"/>
      <c r="BJ59" s="21"/>
      <c r="BK59" s="21"/>
      <c r="BL59" s="21"/>
      <c r="BM59" s="21"/>
      <c r="BN59" s="21"/>
      <c r="BO59" s="21"/>
      <c r="BP59" s="21"/>
      <c r="BQ59" s="21"/>
      <c r="BR59" s="21"/>
      <c r="BS59" s="21"/>
      <c r="BT59" s="21"/>
      <c r="BU59" s="21"/>
      <c r="BV59" s="21"/>
      <c r="BW59" s="21"/>
      <c r="BX59" s="21"/>
      <c r="BY59" s="21"/>
      <c r="BZ59" s="21"/>
      <c r="CA59" s="21"/>
      <c r="CB59" s="21"/>
      <c r="CC59" s="21"/>
      <c r="CD59" s="21"/>
      <c r="CE59" s="21"/>
      <c r="CF59" s="21"/>
      <c r="CG59" s="21"/>
      <c r="CH59" s="21"/>
      <c r="CI59" s="21"/>
      <c r="CJ59" s="21"/>
      <c r="CK59" s="21"/>
      <c r="CL59" s="21"/>
      <c r="CM59" s="21"/>
      <c r="CN59" s="21"/>
      <c r="CO59" s="21"/>
      <c r="CP59" s="21"/>
      <c r="CQ59" s="21"/>
      <c r="CR59" s="21"/>
      <c r="CS59" s="21"/>
      <c r="CT59" s="21"/>
      <c r="CU59" s="21"/>
      <c r="CV59" s="21"/>
      <c r="CW59" s="21"/>
      <c r="CX59" s="21"/>
      <c r="CY59" s="21"/>
      <c r="CZ59" s="21"/>
      <c r="DA59" s="21"/>
      <c r="DB59" s="21"/>
      <c r="DC59" s="21"/>
      <c r="DD59" s="21"/>
      <c r="DE59" s="21"/>
      <c r="DF59" s="123"/>
      <c r="DG59" s="153"/>
      <c r="DH59" s="123"/>
      <c r="DI59" s="153"/>
      <c r="DJ59" s="123"/>
      <c r="DK59" s="123"/>
      <c r="DL59" s="123"/>
      <c r="DM59" s="123"/>
      <c r="DN59" s="18"/>
      <c r="DO59" s="18"/>
      <c r="DP59" s="18"/>
      <c r="DQ59" s="18"/>
      <c r="DR59" s="18"/>
      <c r="DS59" s="18"/>
      <c r="DT59" s="18"/>
      <c r="DU59" s="18"/>
      <c r="DV59" s="18"/>
      <c r="DW59" s="18"/>
      <c r="DX59" s="18"/>
      <c r="DY59" s="18"/>
      <c r="DZ59" s="18"/>
      <c r="EA59" s="18"/>
      <c r="EB59" s="18"/>
      <c r="EC59" s="18"/>
      <c r="ED59" s="18"/>
      <c r="EE59" s="18"/>
      <c r="EF59" s="18"/>
      <c r="EG59" s="18"/>
      <c r="EH59" s="18"/>
      <c r="EI59" s="18"/>
      <c r="EJ59" s="18"/>
      <c r="EK59" s="18"/>
      <c r="EL59" s="18"/>
      <c r="EM59" s="18"/>
      <c r="EN59" s="18"/>
      <c r="EO59" s="18"/>
      <c r="EP59" s="18"/>
      <c r="EQ59" s="18"/>
      <c r="ER59" s="18"/>
      <c r="ES59" s="18"/>
      <c r="ET59" s="18"/>
      <c r="EU59" s="18"/>
      <c r="EV59" s="18"/>
      <c r="EW59" s="18"/>
      <c r="EX59" s="18"/>
      <c r="EY59" s="18"/>
      <c r="EZ59" s="18"/>
      <c r="FA59" s="18"/>
      <c r="FB59" s="18"/>
      <c r="FC59" s="18"/>
      <c r="FD59" s="18"/>
      <c r="FE59" s="18"/>
      <c r="FF59" s="18"/>
      <c r="FG59" s="18"/>
      <c r="FH59" s="18"/>
      <c r="FI59" s="18"/>
      <c r="FJ59" s="18"/>
      <c r="FK59" s="18"/>
      <c r="FL59" s="18"/>
      <c r="FM59" s="18"/>
      <c r="FN59" s="18"/>
      <c r="FO59" s="18"/>
      <c r="FQ59" s="18"/>
      <c r="FR59" s="18"/>
      <c r="FS59" s="18"/>
      <c r="FT59" s="18"/>
      <c r="FU59" s="18"/>
      <c r="FV59" s="18"/>
      <c r="FW59" s="18"/>
      <c r="FX59" s="18"/>
      <c r="FY59" s="18"/>
      <c r="FZ59" s="18"/>
      <c r="GA59" s="18"/>
      <c r="GB59" s="18"/>
      <c r="GC59" s="18"/>
      <c r="GD59" s="18"/>
      <c r="GE59" s="18"/>
      <c r="GF59" s="18"/>
      <c r="GG59" s="18"/>
      <c r="GH59" s="18"/>
      <c r="GI59" s="18"/>
    </row>
    <row r="60" ht="15.75" customHeight="1">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c r="AA60" s="21"/>
      <c r="AB60" s="21"/>
      <c r="AC60" s="21"/>
      <c r="AD60" s="21"/>
      <c r="AE60" s="21"/>
      <c r="AF60" s="21"/>
      <c r="AG60" s="21"/>
      <c r="AH60" s="21"/>
      <c r="AI60" s="21"/>
      <c r="AJ60" s="21"/>
      <c r="AK60" s="21"/>
      <c r="AL60" s="21"/>
      <c r="AM60" s="21"/>
      <c r="AN60" s="21"/>
      <c r="AO60" s="21"/>
      <c r="AP60" s="21"/>
      <c r="AQ60" s="21"/>
      <c r="AR60" s="21"/>
      <c r="AS60" s="21"/>
      <c r="AT60" s="21"/>
      <c r="AU60" s="21"/>
      <c r="AV60" s="21"/>
      <c r="AW60" s="21"/>
      <c r="AX60" s="21"/>
      <c r="AY60" s="21"/>
      <c r="AZ60" s="21"/>
      <c r="BA60" s="21"/>
      <c r="BB60" s="21"/>
      <c r="BC60" s="21"/>
      <c r="BD60" s="21"/>
      <c r="BE60" s="21"/>
      <c r="BF60" s="21"/>
      <c r="BG60" s="21"/>
      <c r="BH60" s="21"/>
      <c r="BI60" s="21"/>
      <c r="BJ60" s="21"/>
      <c r="BK60" s="21"/>
      <c r="BL60" s="21"/>
      <c r="BM60" s="21"/>
      <c r="BN60" s="21"/>
      <c r="BO60" s="21"/>
      <c r="BP60" s="21"/>
      <c r="BQ60" s="21"/>
      <c r="BR60" s="21"/>
      <c r="BS60" s="21"/>
      <c r="BT60" s="21"/>
      <c r="BU60" s="21"/>
      <c r="BV60" s="21"/>
      <c r="BW60" s="21"/>
      <c r="BX60" s="21"/>
      <c r="BY60" s="21"/>
      <c r="BZ60" s="21"/>
      <c r="CA60" s="21"/>
      <c r="CB60" s="21"/>
      <c r="CC60" s="21"/>
      <c r="CD60" s="21"/>
      <c r="CE60" s="21"/>
      <c r="CF60" s="21"/>
      <c r="CG60" s="21"/>
      <c r="CH60" s="21"/>
      <c r="CI60" s="21"/>
      <c r="CJ60" s="21"/>
      <c r="CK60" s="21"/>
      <c r="CL60" s="21"/>
      <c r="CM60" s="21"/>
      <c r="CN60" s="21"/>
      <c r="CO60" s="21"/>
      <c r="CP60" s="21"/>
      <c r="CQ60" s="21"/>
      <c r="CR60" s="21"/>
      <c r="CS60" s="21"/>
      <c r="CT60" s="21"/>
      <c r="CU60" s="21"/>
      <c r="CV60" s="21"/>
      <c r="CW60" s="21"/>
      <c r="CX60" s="21"/>
      <c r="CY60" s="21"/>
      <c r="CZ60" s="21"/>
      <c r="DA60" s="21"/>
      <c r="DB60" s="21"/>
      <c r="DC60" s="21"/>
      <c r="DD60" s="21"/>
      <c r="DE60" s="21"/>
      <c r="DF60" s="123"/>
      <c r="DG60" s="153"/>
      <c r="DH60" s="123"/>
      <c r="DI60" s="153"/>
      <c r="DJ60" s="123"/>
      <c r="DK60" s="123"/>
      <c r="DL60" s="123"/>
      <c r="DM60" s="123"/>
      <c r="DN60" s="18"/>
      <c r="DO60" s="18"/>
      <c r="DP60" s="18"/>
      <c r="DQ60" s="18"/>
      <c r="DR60" s="18"/>
      <c r="DS60" s="18"/>
      <c r="DT60" s="18"/>
      <c r="DU60" s="18"/>
      <c r="DV60" s="18"/>
      <c r="DW60" s="18"/>
      <c r="DX60" s="18"/>
      <c r="DY60" s="18"/>
      <c r="DZ60" s="18"/>
      <c r="EA60" s="18"/>
      <c r="EB60" s="18"/>
      <c r="EC60" s="18"/>
      <c r="ED60" s="18"/>
      <c r="EE60" s="18"/>
      <c r="EF60" s="18"/>
      <c r="EG60" s="18"/>
      <c r="EH60" s="18"/>
      <c r="EI60" s="18"/>
      <c r="EJ60" s="18"/>
      <c r="EK60" s="18"/>
      <c r="EL60" s="18"/>
      <c r="EM60" s="18"/>
      <c r="EN60" s="18"/>
      <c r="EO60" s="18"/>
      <c r="EP60" s="18"/>
      <c r="EQ60" s="18"/>
      <c r="ER60" s="18"/>
      <c r="ES60" s="18"/>
      <c r="ET60" s="18"/>
      <c r="EU60" s="18"/>
      <c r="EV60" s="18"/>
      <c r="EW60" s="18"/>
      <c r="EX60" s="18"/>
      <c r="EY60" s="18"/>
      <c r="EZ60" s="18"/>
      <c r="FA60" s="18"/>
      <c r="FB60" s="18"/>
      <c r="FC60" s="18"/>
      <c r="FD60" s="18"/>
      <c r="FE60" s="18"/>
      <c r="FF60" s="18"/>
      <c r="FG60" s="18"/>
      <c r="FH60" s="18"/>
      <c r="FI60" s="18"/>
      <c r="FJ60" s="18"/>
      <c r="FK60" s="18"/>
      <c r="FL60" s="18"/>
      <c r="FM60" s="18"/>
      <c r="FN60" s="18"/>
      <c r="FO60" s="18"/>
      <c r="FQ60" s="18"/>
      <c r="FR60" s="18"/>
      <c r="FS60" s="18"/>
      <c r="FT60" s="18"/>
      <c r="FU60" s="18"/>
      <c r="FV60" s="18"/>
      <c r="FW60" s="18"/>
      <c r="FX60" s="18"/>
      <c r="FY60" s="18"/>
      <c r="FZ60" s="18"/>
      <c r="GA60" s="18"/>
      <c r="GB60" s="18"/>
      <c r="GC60" s="18"/>
      <c r="GD60" s="18"/>
      <c r="GE60" s="18"/>
      <c r="GF60" s="18"/>
      <c r="GG60" s="18"/>
      <c r="GH60" s="18"/>
      <c r="GI60" s="18"/>
    </row>
    <row r="61" ht="15.75" customHeight="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c r="AA61" s="21"/>
      <c r="AB61" s="21"/>
      <c r="AC61" s="21"/>
      <c r="AD61" s="21"/>
      <c r="AE61" s="21"/>
      <c r="AF61" s="21"/>
      <c r="AG61" s="21"/>
      <c r="AH61" s="21"/>
      <c r="AI61" s="21"/>
      <c r="AJ61" s="21"/>
      <c r="AK61" s="21"/>
      <c r="AL61" s="21"/>
      <c r="AM61" s="21"/>
      <c r="AN61" s="21"/>
      <c r="AO61" s="21"/>
      <c r="AP61" s="21"/>
      <c r="AQ61" s="21"/>
      <c r="AR61" s="21"/>
      <c r="AS61" s="21"/>
      <c r="AT61" s="21"/>
      <c r="AU61" s="21"/>
      <c r="AV61" s="21"/>
      <c r="AW61" s="21"/>
      <c r="AX61" s="21"/>
      <c r="AY61" s="21"/>
      <c r="AZ61" s="21"/>
      <c r="BA61" s="21"/>
      <c r="BB61" s="21"/>
      <c r="BC61" s="21"/>
      <c r="BD61" s="21"/>
      <c r="BE61" s="21"/>
      <c r="BF61" s="21"/>
      <c r="BG61" s="21"/>
      <c r="BH61" s="21"/>
      <c r="BI61" s="21"/>
      <c r="BJ61" s="21"/>
      <c r="BK61" s="21"/>
      <c r="BL61" s="21"/>
      <c r="BM61" s="21"/>
      <c r="BN61" s="21"/>
      <c r="BO61" s="21"/>
      <c r="BP61" s="21"/>
      <c r="BQ61" s="21"/>
      <c r="BR61" s="21"/>
      <c r="BS61" s="21"/>
      <c r="BT61" s="21"/>
      <c r="BU61" s="21"/>
      <c r="BV61" s="21"/>
      <c r="BW61" s="21"/>
      <c r="BX61" s="21"/>
      <c r="BY61" s="21"/>
      <c r="BZ61" s="21"/>
      <c r="CA61" s="21"/>
      <c r="CB61" s="21"/>
      <c r="CC61" s="21"/>
      <c r="CD61" s="21"/>
      <c r="CE61" s="21"/>
      <c r="CF61" s="21"/>
      <c r="CG61" s="21"/>
      <c r="CH61" s="21"/>
      <c r="CI61" s="21"/>
      <c r="CJ61" s="21"/>
      <c r="CK61" s="21"/>
      <c r="CL61" s="21"/>
      <c r="CM61" s="21"/>
      <c r="CN61" s="21"/>
      <c r="CO61" s="21"/>
      <c r="CP61" s="21"/>
      <c r="CQ61" s="21"/>
      <c r="CR61" s="21"/>
      <c r="CS61" s="21"/>
      <c r="CT61" s="21"/>
      <c r="CU61" s="21"/>
      <c r="CV61" s="21"/>
      <c r="CW61" s="21"/>
      <c r="CX61" s="21"/>
      <c r="CY61" s="21"/>
      <c r="CZ61" s="21"/>
      <c r="DA61" s="21"/>
      <c r="DB61" s="21"/>
      <c r="DC61" s="21"/>
      <c r="DD61" s="21"/>
      <c r="DE61" s="21"/>
      <c r="DF61" s="123"/>
      <c r="DG61" s="153"/>
      <c r="DH61" s="123"/>
      <c r="DI61" s="153"/>
      <c r="DJ61" s="123"/>
      <c r="DK61" s="123"/>
      <c r="DL61" s="123"/>
      <c r="DM61" s="123"/>
      <c r="DN61" s="18"/>
      <c r="DO61" s="18"/>
      <c r="DP61" s="18"/>
      <c r="DQ61" s="18"/>
      <c r="DR61" s="18"/>
      <c r="DS61" s="18"/>
      <c r="DT61" s="18"/>
      <c r="DU61" s="18"/>
      <c r="DV61" s="18"/>
      <c r="DW61" s="18"/>
      <c r="DX61" s="18"/>
      <c r="DY61" s="18"/>
      <c r="DZ61" s="18"/>
      <c r="EA61" s="18"/>
      <c r="EB61" s="18"/>
      <c r="EC61" s="18"/>
      <c r="ED61" s="18"/>
      <c r="EE61" s="18"/>
      <c r="EF61" s="18"/>
      <c r="EG61" s="18"/>
      <c r="EH61" s="18"/>
      <c r="EI61" s="18"/>
      <c r="EJ61" s="18"/>
      <c r="EK61" s="18"/>
      <c r="EL61" s="18"/>
      <c r="EM61" s="18"/>
      <c r="EN61" s="18"/>
      <c r="EO61" s="18"/>
      <c r="EP61" s="18"/>
      <c r="EQ61" s="18"/>
      <c r="ER61" s="18"/>
      <c r="ES61" s="18"/>
      <c r="ET61" s="18"/>
      <c r="EU61" s="18"/>
      <c r="EV61" s="18"/>
      <c r="EW61" s="18"/>
      <c r="EX61" s="18"/>
      <c r="EY61" s="18"/>
      <c r="EZ61" s="18"/>
      <c r="FA61" s="18"/>
      <c r="FB61" s="18"/>
      <c r="FC61" s="18"/>
      <c r="FD61" s="18"/>
      <c r="FE61" s="18"/>
      <c r="FF61" s="18"/>
      <c r="FG61" s="18"/>
      <c r="FH61" s="18"/>
      <c r="FI61" s="18"/>
      <c r="FJ61" s="18"/>
      <c r="FK61" s="18"/>
      <c r="FL61" s="18"/>
      <c r="FM61" s="18"/>
      <c r="FN61" s="18"/>
      <c r="FO61" s="18"/>
      <c r="FQ61" s="18"/>
      <c r="FR61" s="18"/>
      <c r="FS61" s="18"/>
      <c r="FT61" s="18"/>
      <c r="FU61" s="18"/>
      <c r="FV61" s="18"/>
      <c r="FW61" s="18"/>
      <c r="FX61" s="18"/>
      <c r="FY61" s="18"/>
      <c r="FZ61" s="18"/>
      <c r="GA61" s="18"/>
      <c r="GB61" s="18"/>
      <c r="GC61" s="18"/>
      <c r="GD61" s="18"/>
      <c r="GE61" s="18"/>
      <c r="GF61" s="18"/>
      <c r="GG61" s="18"/>
      <c r="GH61" s="18"/>
      <c r="GI61" s="18"/>
    </row>
    <row r="62" ht="15.75" customHeight="1">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c r="AA62" s="21"/>
      <c r="AB62" s="21"/>
      <c r="AC62" s="21"/>
      <c r="AD62" s="21"/>
      <c r="AE62" s="21"/>
      <c r="AF62" s="21"/>
      <c r="AG62" s="21"/>
      <c r="AH62" s="21"/>
      <c r="AI62" s="21"/>
      <c r="AJ62" s="21"/>
      <c r="AK62" s="21"/>
      <c r="AL62" s="21"/>
      <c r="AM62" s="21"/>
      <c r="AN62" s="21"/>
      <c r="AO62" s="21"/>
      <c r="AP62" s="21"/>
      <c r="AQ62" s="21"/>
      <c r="AR62" s="21"/>
      <c r="AS62" s="21"/>
      <c r="AT62" s="21"/>
      <c r="AU62" s="21"/>
      <c r="AV62" s="21"/>
      <c r="AW62" s="21"/>
      <c r="AX62" s="21"/>
      <c r="AY62" s="21"/>
      <c r="AZ62" s="21"/>
      <c r="BA62" s="21"/>
      <c r="BB62" s="21"/>
      <c r="BC62" s="21"/>
      <c r="BD62" s="21"/>
      <c r="BE62" s="21"/>
      <c r="BF62" s="21"/>
      <c r="BG62" s="21"/>
      <c r="BH62" s="21"/>
      <c r="BI62" s="21"/>
      <c r="BJ62" s="21"/>
      <c r="BK62" s="21"/>
      <c r="BL62" s="21"/>
      <c r="BM62" s="21"/>
      <c r="BN62" s="21"/>
      <c r="BO62" s="21"/>
      <c r="BP62" s="21"/>
      <c r="BQ62" s="21"/>
      <c r="BR62" s="21"/>
      <c r="BS62" s="21"/>
      <c r="BT62" s="21"/>
      <c r="BU62" s="21"/>
      <c r="BV62" s="21"/>
      <c r="BW62" s="21"/>
      <c r="BX62" s="21"/>
      <c r="BY62" s="21"/>
      <c r="BZ62" s="21"/>
      <c r="CA62" s="21"/>
      <c r="CB62" s="21"/>
      <c r="CC62" s="21"/>
      <c r="CD62" s="21"/>
      <c r="CE62" s="21"/>
      <c r="CF62" s="21"/>
      <c r="CG62" s="21"/>
      <c r="CH62" s="21"/>
      <c r="CI62" s="21"/>
      <c r="CJ62" s="21"/>
      <c r="CK62" s="21"/>
      <c r="CL62" s="21"/>
      <c r="CM62" s="21"/>
      <c r="CN62" s="21"/>
      <c r="CO62" s="21"/>
      <c r="CP62" s="21"/>
      <c r="CQ62" s="21"/>
      <c r="CR62" s="21"/>
      <c r="CS62" s="21"/>
      <c r="CT62" s="21"/>
      <c r="CU62" s="21"/>
      <c r="CV62" s="21"/>
      <c r="CW62" s="21"/>
      <c r="CX62" s="21"/>
      <c r="CY62" s="21"/>
      <c r="CZ62" s="21"/>
      <c r="DA62" s="21"/>
      <c r="DB62" s="21"/>
      <c r="DC62" s="21"/>
      <c r="DD62" s="21"/>
      <c r="DE62" s="21"/>
      <c r="DF62" s="123"/>
      <c r="DG62" s="153"/>
      <c r="DH62" s="123"/>
      <c r="DI62" s="153"/>
      <c r="DJ62" s="123"/>
      <c r="DK62" s="123"/>
      <c r="DL62" s="123"/>
      <c r="DM62" s="123"/>
      <c r="DN62" s="18"/>
      <c r="DO62" s="18"/>
      <c r="DP62" s="18"/>
      <c r="DQ62" s="18"/>
      <c r="DR62" s="18"/>
      <c r="DS62" s="18"/>
      <c r="DT62" s="18"/>
      <c r="DU62" s="18"/>
      <c r="DV62" s="18"/>
      <c r="DW62" s="18"/>
      <c r="DX62" s="18"/>
      <c r="DY62" s="18"/>
      <c r="DZ62" s="18"/>
      <c r="EA62" s="18"/>
      <c r="EB62" s="18"/>
      <c r="EC62" s="18"/>
      <c r="ED62" s="18"/>
      <c r="EE62" s="18"/>
      <c r="EF62" s="18"/>
      <c r="EG62" s="18"/>
      <c r="EH62" s="18"/>
      <c r="EI62" s="18"/>
      <c r="EJ62" s="18"/>
      <c r="EK62" s="18"/>
      <c r="EL62" s="18"/>
      <c r="EM62" s="18"/>
      <c r="EN62" s="18"/>
      <c r="EO62" s="18"/>
      <c r="EP62" s="18"/>
      <c r="EQ62" s="18"/>
      <c r="ER62" s="18"/>
      <c r="ES62" s="18"/>
      <c r="ET62" s="18"/>
      <c r="EU62" s="18"/>
      <c r="EV62" s="18"/>
      <c r="EW62" s="18"/>
      <c r="EX62" s="18"/>
      <c r="EY62" s="18"/>
      <c r="EZ62" s="18"/>
      <c r="FA62" s="18"/>
      <c r="FB62" s="18"/>
      <c r="FC62" s="18"/>
      <c r="FD62" s="18"/>
      <c r="FE62" s="18"/>
      <c r="FF62" s="18"/>
      <c r="FG62" s="18"/>
      <c r="FH62" s="18"/>
      <c r="FI62" s="18"/>
      <c r="FJ62" s="18"/>
      <c r="FK62" s="18"/>
      <c r="FL62" s="18"/>
      <c r="FM62" s="18"/>
      <c r="FN62" s="18"/>
      <c r="FO62" s="18"/>
      <c r="FQ62" s="18"/>
      <c r="FR62" s="18"/>
      <c r="FS62" s="18"/>
      <c r="FT62" s="18"/>
      <c r="FU62" s="18"/>
      <c r="FV62" s="18"/>
      <c r="FW62" s="18"/>
      <c r="FX62" s="18"/>
      <c r="FY62" s="18"/>
      <c r="FZ62" s="18"/>
      <c r="GA62" s="18"/>
      <c r="GB62" s="18"/>
      <c r="GC62" s="18"/>
      <c r="GD62" s="18"/>
      <c r="GE62" s="18"/>
      <c r="GF62" s="18"/>
      <c r="GG62" s="18"/>
      <c r="GH62" s="18"/>
      <c r="GI62" s="18"/>
    </row>
    <row r="63" ht="15.75" customHeight="1">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c r="AA63" s="21"/>
      <c r="AB63" s="21"/>
      <c r="AC63" s="21"/>
      <c r="AD63" s="21"/>
      <c r="AE63" s="21"/>
      <c r="AF63" s="21"/>
      <c r="AG63" s="21"/>
      <c r="AH63" s="21"/>
      <c r="AI63" s="21"/>
      <c r="AJ63" s="21"/>
      <c r="AK63" s="21"/>
      <c r="AL63" s="21"/>
      <c r="AM63" s="21"/>
      <c r="AN63" s="21"/>
      <c r="AO63" s="21"/>
      <c r="AP63" s="21"/>
      <c r="AQ63" s="21"/>
      <c r="AR63" s="21"/>
      <c r="AS63" s="21"/>
      <c r="AT63" s="21"/>
      <c r="AU63" s="21"/>
      <c r="AV63" s="21"/>
      <c r="AW63" s="21"/>
      <c r="AX63" s="21"/>
      <c r="AY63" s="21"/>
      <c r="AZ63" s="21"/>
      <c r="BA63" s="21"/>
      <c r="BB63" s="21"/>
      <c r="BC63" s="21"/>
      <c r="BD63" s="21"/>
      <c r="BE63" s="21"/>
      <c r="BF63" s="21"/>
      <c r="BG63" s="21"/>
      <c r="BH63" s="21"/>
      <c r="BI63" s="21"/>
      <c r="BJ63" s="21"/>
      <c r="BK63" s="21"/>
      <c r="BL63" s="21"/>
      <c r="BM63" s="21"/>
      <c r="BN63" s="21"/>
      <c r="BO63" s="21"/>
      <c r="BP63" s="21"/>
      <c r="BQ63" s="21"/>
      <c r="BR63" s="21"/>
      <c r="BS63" s="21"/>
      <c r="BT63" s="21"/>
      <c r="BU63" s="21"/>
      <c r="BV63" s="21"/>
      <c r="BW63" s="21"/>
      <c r="BX63" s="21"/>
      <c r="BY63" s="21"/>
      <c r="BZ63" s="21"/>
      <c r="CA63" s="21"/>
      <c r="CB63" s="21"/>
      <c r="CC63" s="21"/>
      <c r="CD63" s="21"/>
      <c r="CE63" s="21"/>
      <c r="CF63" s="21"/>
      <c r="CG63" s="21"/>
      <c r="CH63" s="21"/>
      <c r="CI63" s="21"/>
      <c r="CJ63" s="21"/>
      <c r="CK63" s="21"/>
      <c r="CL63" s="21"/>
      <c r="CM63" s="21"/>
      <c r="CN63" s="21"/>
      <c r="CO63" s="21"/>
      <c r="CP63" s="21"/>
      <c r="CQ63" s="21"/>
      <c r="CR63" s="21"/>
      <c r="CS63" s="21"/>
      <c r="CT63" s="21"/>
      <c r="CU63" s="21"/>
      <c r="CV63" s="21"/>
      <c r="CW63" s="21"/>
      <c r="CX63" s="21"/>
      <c r="CY63" s="21"/>
      <c r="CZ63" s="21"/>
      <c r="DA63" s="21"/>
      <c r="DB63" s="21"/>
      <c r="DC63" s="21"/>
      <c r="DD63" s="21"/>
      <c r="DE63" s="21"/>
      <c r="DF63" s="123"/>
      <c r="DG63" s="153"/>
      <c r="DH63" s="123"/>
      <c r="DI63" s="153"/>
      <c r="DJ63" s="123"/>
      <c r="DK63" s="123"/>
      <c r="DL63" s="123"/>
      <c r="DM63" s="123"/>
      <c r="DN63" s="18"/>
      <c r="DO63" s="18"/>
      <c r="DP63" s="18"/>
      <c r="DQ63" s="18"/>
      <c r="DR63" s="18"/>
      <c r="DS63" s="18"/>
      <c r="DT63" s="18"/>
      <c r="DU63" s="18"/>
      <c r="DV63" s="18"/>
      <c r="DW63" s="18"/>
      <c r="DX63" s="18"/>
      <c r="DY63" s="18"/>
      <c r="DZ63" s="18"/>
      <c r="EA63" s="18"/>
      <c r="EB63" s="18"/>
      <c r="EC63" s="18"/>
      <c r="ED63" s="18"/>
      <c r="EE63" s="18"/>
      <c r="EF63" s="18"/>
      <c r="EG63" s="18"/>
      <c r="EH63" s="18"/>
      <c r="EI63" s="18"/>
      <c r="EJ63" s="18"/>
      <c r="EK63" s="18"/>
      <c r="EL63" s="18"/>
      <c r="EM63" s="18"/>
      <c r="EN63" s="18"/>
      <c r="EO63" s="18"/>
      <c r="EP63" s="18"/>
      <c r="EQ63" s="18"/>
      <c r="ER63" s="18"/>
      <c r="ES63" s="18"/>
      <c r="ET63" s="18"/>
      <c r="EU63" s="18"/>
      <c r="EV63" s="18"/>
      <c r="EW63" s="18"/>
      <c r="EX63" s="18"/>
      <c r="EY63" s="18"/>
      <c r="EZ63" s="18"/>
      <c r="FA63" s="18"/>
      <c r="FB63" s="18"/>
      <c r="FC63" s="18"/>
      <c r="FD63" s="18"/>
      <c r="FE63" s="18"/>
      <c r="FF63" s="18"/>
      <c r="FG63" s="18"/>
      <c r="FH63" s="18"/>
      <c r="FI63" s="18"/>
      <c r="FJ63" s="18"/>
      <c r="FK63" s="18"/>
      <c r="FL63" s="18"/>
      <c r="FM63" s="18"/>
      <c r="FN63" s="18"/>
      <c r="FO63" s="18"/>
      <c r="FQ63" s="18"/>
      <c r="FR63" s="18"/>
      <c r="FS63" s="18"/>
      <c r="FT63" s="18"/>
      <c r="FU63" s="18"/>
      <c r="FV63" s="18"/>
      <c r="FW63" s="18"/>
      <c r="FX63" s="18"/>
      <c r="FY63" s="18"/>
      <c r="FZ63" s="18"/>
      <c r="GA63" s="18"/>
      <c r="GB63" s="18"/>
      <c r="GC63" s="18"/>
      <c r="GD63" s="18"/>
      <c r="GE63" s="18"/>
      <c r="GF63" s="18"/>
      <c r="GG63" s="18"/>
      <c r="GH63" s="18"/>
      <c r="GI63" s="18"/>
    </row>
    <row r="64" ht="15.75" customHeight="1">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c r="AA64" s="21"/>
      <c r="AB64" s="21"/>
      <c r="AC64" s="21"/>
      <c r="AD64" s="21"/>
      <c r="AE64" s="21"/>
      <c r="AF64" s="21"/>
      <c r="AG64" s="21"/>
      <c r="AH64" s="21"/>
      <c r="AI64" s="21"/>
      <c r="AJ64" s="21"/>
      <c r="AK64" s="21"/>
      <c r="AL64" s="21"/>
      <c r="AM64" s="21"/>
      <c r="AN64" s="21"/>
      <c r="AO64" s="21"/>
      <c r="AP64" s="21"/>
      <c r="AQ64" s="21"/>
      <c r="AR64" s="21"/>
      <c r="AS64" s="21"/>
      <c r="AT64" s="21"/>
      <c r="AU64" s="21"/>
      <c r="AV64" s="21"/>
      <c r="AW64" s="21"/>
      <c r="AX64" s="21"/>
      <c r="AY64" s="21"/>
      <c r="AZ64" s="21"/>
      <c r="BA64" s="21"/>
      <c r="BB64" s="21"/>
      <c r="BC64" s="21"/>
      <c r="BD64" s="21"/>
      <c r="BE64" s="21"/>
      <c r="BF64" s="21"/>
      <c r="BG64" s="21"/>
      <c r="BH64" s="21"/>
      <c r="BI64" s="21"/>
      <c r="BJ64" s="21"/>
      <c r="BK64" s="21"/>
      <c r="BL64" s="21"/>
      <c r="BM64" s="21"/>
      <c r="BN64" s="21"/>
      <c r="BO64" s="21"/>
      <c r="BP64" s="21"/>
      <c r="BQ64" s="21"/>
      <c r="BR64" s="21"/>
      <c r="BS64" s="21"/>
      <c r="BT64" s="21"/>
      <c r="BU64" s="21"/>
      <c r="BV64" s="21"/>
      <c r="BW64" s="21"/>
      <c r="BX64" s="21"/>
      <c r="BY64" s="21"/>
      <c r="BZ64" s="21"/>
      <c r="CA64" s="21"/>
      <c r="CB64" s="21"/>
      <c r="CC64" s="21"/>
      <c r="CD64" s="21"/>
      <c r="CE64" s="21"/>
      <c r="CF64" s="21"/>
      <c r="CG64" s="21"/>
      <c r="CH64" s="21"/>
      <c r="CI64" s="21"/>
      <c r="CJ64" s="21"/>
      <c r="CK64" s="21"/>
      <c r="CL64" s="21"/>
      <c r="CM64" s="21"/>
      <c r="CN64" s="21"/>
      <c r="CO64" s="21"/>
      <c r="CP64" s="21"/>
      <c r="CQ64" s="21"/>
      <c r="CR64" s="21"/>
      <c r="CS64" s="21"/>
      <c r="CT64" s="21"/>
      <c r="CU64" s="21"/>
      <c r="CV64" s="21"/>
      <c r="CW64" s="21"/>
      <c r="CX64" s="21"/>
      <c r="CY64" s="21"/>
      <c r="CZ64" s="21"/>
      <c r="DA64" s="21"/>
      <c r="DB64" s="21"/>
      <c r="DC64" s="21"/>
      <c r="DD64" s="21"/>
      <c r="DE64" s="21"/>
      <c r="DF64" s="123"/>
      <c r="DG64" s="153"/>
      <c r="DH64" s="123"/>
      <c r="DI64" s="153"/>
      <c r="DJ64" s="123"/>
      <c r="DK64" s="123"/>
      <c r="DL64" s="123"/>
      <c r="DM64" s="123"/>
      <c r="DN64" s="18"/>
      <c r="DO64" s="18"/>
      <c r="DP64" s="18"/>
      <c r="DQ64" s="18"/>
      <c r="DR64" s="18"/>
      <c r="DS64" s="18"/>
      <c r="DT64" s="18"/>
      <c r="DU64" s="18"/>
      <c r="DV64" s="18"/>
      <c r="DW64" s="18"/>
      <c r="DX64" s="18"/>
      <c r="DY64" s="18"/>
      <c r="DZ64" s="18"/>
      <c r="EA64" s="18"/>
      <c r="EB64" s="18"/>
      <c r="EC64" s="18"/>
      <c r="ED64" s="18"/>
      <c r="EE64" s="18"/>
      <c r="EF64" s="18"/>
      <c r="EG64" s="18"/>
      <c r="EH64" s="18"/>
      <c r="EI64" s="18"/>
      <c r="EJ64" s="18"/>
      <c r="EK64" s="18"/>
      <c r="EL64" s="18"/>
      <c r="EM64" s="18"/>
      <c r="EN64" s="18"/>
      <c r="EO64" s="18"/>
      <c r="EP64" s="18"/>
      <c r="EQ64" s="18"/>
      <c r="ER64" s="18"/>
      <c r="ES64" s="18"/>
      <c r="ET64" s="18"/>
      <c r="EU64" s="18"/>
      <c r="EV64" s="18"/>
      <c r="EW64" s="18"/>
      <c r="EX64" s="18"/>
      <c r="EY64" s="18"/>
      <c r="EZ64" s="18"/>
      <c r="FA64" s="18"/>
      <c r="FB64" s="18"/>
      <c r="FC64" s="18"/>
      <c r="FD64" s="18"/>
      <c r="FE64" s="18"/>
      <c r="FF64" s="18"/>
      <c r="FG64" s="18"/>
      <c r="FH64" s="18"/>
      <c r="FI64" s="18"/>
      <c r="FJ64" s="18"/>
      <c r="FK64" s="18"/>
      <c r="FL64" s="18"/>
      <c r="FM64" s="18"/>
      <c r="FN64" s="18"/>
      <c r="FO64" s="18"/>
      <c r="FQ64" s="18"/>
      <c r="FR64" s="18"/>
      <c r="FS64" s="18"/>
      <c r="FT64" s="18"/>
      <c r="FU64" s="18"/>
      <c r="FV64" s="18"/>
      <c r="FW64" s="18"/>
      <c r="FX64" s="18"/>
      <c r="FY64" s="18"/>
      <c r="FZ64" s="18"/>
      <c r="GA64" s="18"/>
      <c r="GB64" s="18"/>
      <c r="GC64" s="18"/>
      <c r="GD64" s="18"/>
      <c r="GE64" s="18"/>
      <c r="GF64" s="18"/>
      <c r="GG64" s="18"/>
      <c r="GH64" s="18"/>
      <c r="GI64" s="18"/>
    </row>
    <row r="65" ht="15.75" customHeight="1">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c r="AA65" s="21"/>
      <c r="AB65" s="21"/>
      <c r="AC65" s="21"/>
      <c r="AD65" s="21"/>
      <c r="AE65" s="21"/>
      <c r="AF65" s="21"/>
      <c r="AG65" s="21"/>
      <c r="AH65" s="21"/>
      <c r="AI65" s="21"/>
      <c r="AJ65" s="21"/>
      <c r="AK65" s="21"/>
      <c r="AL65" s="21"/>
      <c r="AM65" s="21"/>
      <c r="AN65" s="21"/>
      <c r="AO65" s="21"/>
      <c r="AP65" s="21"/>
      <c r="AQ65" s="21"/>
      <c r="AR65" s="21"/>
      <c r="AS65" s="21"/>
      <c r="AT65" s="21"/>
      <c r="AU65" s="21"/>
      <c r="AV65" s="21"/>
      <c r="AW65" s="21"/>
      <c r="AX65" s="21"/>
      <c r="AY65" s="21"/>
      <c r="AZ65" s="21"/>
      <c r="BA65" s="21"/>
      <c r="BB65" s="21"/>
      <c r="BC65" s="21"/>
      <c r="BD65" s="21"/>
      <c r="BE65" s="21"/>
      <c r="BF65" s="21"/>
      <c r="BG65" s="21"/>
      <c r="BH65" s="21"/>
      <c r="BI65" s="21"/>
      <c r="BJ65" s="21"/>
      <c r="BK65" s="21"/>
      <c r="BL65" s="21"/>
      <c r="BM65" s="21"/>
      <c r="BN65" s="21"/>
      <c r="BO65" s="21"/>
      <c r="BP65" s="21"/>
      <c r="BQ65" s="21"/>
      <c r="BR65" s="21"/>
      <c r="BS65" s="21"/>
      <c r="BT65" s="21"/>
      <c r="BU65" s="21"/>
      <c r="BV65" s="21"/>
      <c r="BW65" s="21"/>
      <c r="BX65" s="21"/>
      <c r="BY65" s="21"/>
      <c r="BZ65" s="21"/>
      <c r="CA65" s="21"/>
      <c r="CB65" s="21"/>
      <c r="CC65" s="21"/>
      <c r="CD65" s="21"/>
      <c r="CE65" s="21"/>
      <c r="CF65" s="21"/>
      <c r="CG65" s="21"/>
      <c r="CH65" s="21"/>
      <c r="CI65" s="21"/>
      <c r="CJ65" s="21"/>
      <c r="CK65" s="21"/>
      <c r="CL65" s="21"/>
      <c r="CM65" s="21"/>
      <c r="CN65" s="21"/>
      <c r="CO65" s="21"/>
      <c r="CP65" s="21"/>
      <c r="CQ65" s="21"/>
      <c r="CR65" s="21"/>
      <c r="CS65" s="21"/>
      <c r="CT65" s="21"/>
      <c r="CU65" s="21"/>
      <c r="CV65" s="21"/>
      <c r="CW65" s="21"/>
      <c r="CX65" s="21"/>
      <c r="CY65" s="21"/>
      <c r="CZ65" s="21"/>
      <c r="DA65" s="21"/>
      <c r="DB65" s="21"/>
      <c r="DC65" s="21"/>
      <c r="DD65" s="21"/>
      <c r="DE65" s="21"/>
      <c r="DF65" s="123"/>
      <c r="DG65" s="153"/>
      <c r="DH65" s="123"/>
      <c r="DI65" s="153"/>
      <c r="DJ65" s="123"/>
      <c r="DK65" s="123"/>
      <c r="DL65" s="123"/>
      <c r="DM65" s="123"/>
      <c r="DN65" s="18"/>
      <c r="DO65" s="18"/>
      <c r="DP65" s="18"/>
      <c r="DQ65" s="18"/>
      <c r="DR65" s="18"/>
      <c r="DS65" s="18"/>
      <c r="DT65" s="18"/>
      <c r="DU65" s="18"/>
      <c r="DV65" s="18"/>
      <c r="DW65" s="18"/>
      <c r="DX65" s="18"/>
      <c r="DY65" s="18"/>
      <c r="DZ65" s="18"/>
      <c r="EA65" s="18"/>
      <c r="EB65" s="18"/>
      <c r="EC65" s="18"/>
      <c r="ED65" s="18"/>
      <c r="EE65" s="18"/>
      <c r="EF65" s="18"/>
      <c r="EG65" s="18"/>
      <c r="EH65" s="18"/>
      <c r="EI65" s="18"/>
      <c r="EJ65" s="18"/>
      <c r="EK65" s="18"/>
      <c r="EL65" s="18"/>
      <c r="EM65" s="18"/>
      <c r="EN65" s="18"/>
      <c r="EO65" s="18"/>
      <c r="EP65" s="18"/>
      <c r="EQ65" s="18"/>
      <c r="ER65" s="18"/>
      <c r="ES65" s="18"/>
      <c r="ET65" s="18"/>
      <c r="EU65" s="18"/>
      <c r="EV65" s="18"/>
      <c r="EW65" s="18"/>
      <c r="EX65" s="18"/>
      <c r="EY65" s="18"/>
      <c r="EZ65" s="18"/>
      <c r="FA65" s="18"/>
      <c r="FB65" s="18"/>
      <c r="FC65" s="18"/>
      <c r="FD65" s="18"/>
      <c r="FE65" s="18"/>
      <c r="FF65" s="18"/>
      <c r="FG65" s="18"/>
      <c r="FH65" s="18"/>
      <c r="FI65" s="18"/>
      <c r="FJ65" s="18"/>
      <c r="FK65" s="18"/>
      <c r="FL65" s="18"/>
      <c r="FM65" s="18"/>
      <c r="FN65" s="18"/>
      <c r="FO65" s="18"/>
      <c r="FQ65" s="18"/>
      <c r="FR65" s="18"/>
      <c r="FS65" s="18"/>
      <c r="FT65" s="18"/>
      <c r="FU65" s="18"/>
      <c r="FV65" s="18"/>
      <c r="FW65" s="18"/>
      <c r="FX65" s="18"/>
      <c r="FY65" s="18"/>
      <c r="FZ65" s="18"/>
      <c r="GA65" s="18"/>
      <c r="GB65" s="18"/>
      <c r="GC65" s="18"/>
      <c r="GD65" s="18"/>
      <c r="GE65" s="18"/>
      <c r="GF65" s="18"/>
      <c r="GG65" s="18"/>
      <c r="GH65" s="18"/>
      <c r="GI65" s="18"/>
    </row>
    <row r="66" ht="15.75" customHeight="1">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c r="AA66" s="21"/>
      <c r="AB66" s="21"/>
      <c r="AC66" s="21"/>
      <c r="AD66" s="21"/>
      <c r="AE66" s="21"/>
      <c r="AF66" s="21"/>
      <c r="AG66" s="21"/>
      <c r="AH66" s="21"/>
      <c r="AI66" s="21"/>
      <c r="AJ66" s="21"/>
      <c r="AK66" s="21"/>
      <c r="AL66" s="21"/>
      <c r="AM66" s="21"/>
      <c r="AN66" s="21"/>
      <c r="AO66" s="21"/>
      <c r="AP66" s="21"/>
      <c r="AQ66" s="21"/>
      <c r="AR66" s="21"/>
      <c r="AS66" s="21"/>
      <c r="AT66" s="21"/>
      <c r="AU66" s="21"/>
      <c r="AV66" s="21"/>
      <c r="AW66" s="21"/>
      <c r="AX66" s="21"/>
      <c r="AY66" s="21"/>
      <c r="AZ66" s="21"/>
      <c r="BA66" s="21"/>
      <c r="BB66" s="21"/>
      <c r="BC66" s="21"/>
      <c r="BD66" s="21"/>
      <c r="BE66" s="21"/>
      <c r="BF66" s="21"/>
      <c r="BG66" s="21"/>
      <c r="BH66" s="21"/>
      <c r="BI66" s="21"/>
      <c r="BJ66" s="21"/>
      <c r="BK66" s="21"/>
      <c r="BL66" s="21"/>
      <c r="BM66" s="21"/>
      <c r="BN66" s="21"/>
      <c r="BO66" s="21"/>
      <c r="BP66" s="21"/>
      <c r="BQ66" s="21"/>
      <c r="BR66" s="21"/>
      <c r="BS66" s="21"/>
      <c r="BT66" s="21"/>
      <c r="BU66" s="21"/>
      <c r="BV66" s="21"/>
      <c r="BW66" s="21"/>
      <c r="BX66" s="21"/>
      <c r="BY66" s="21"/>
      <c r="BZ66" s="21"/>
      <c r="CA66" s="21"/>
      <c r="CB66" s="21"/>
      <c r="CC66" s="21"/>
      <c r="CD66" s="21"/>
      <c r="CE66" s="21"/>
      <c r="CF66" s="21"/>
      <c r="CG66" s="21"/>
      <c r="CH66" s="21"/>
      <c r="CI66" s="21"/>
      <c r="CJ66" s="21"/>
      <c r="CK66" s="21"/>
      <c r="CL66" s="21"/>
      <c r="CM66" s="21"/>
      <c r="CN66" s="21"/>
      <c r="CO66" s="21"/>
      <c r="CP66" s="21"/>
      <c r="CQ66" s="21"/>
      <c r="CR66" s="21"/>
      <c r="CS66" s="21"/>
      <c r="CT66" s="21"/>
      <c r="CU66" s="21"/>
      <c r="CV66" s="21"/>
      <c r="CW66" s="21"/>
      <c r="CX66" s="21"/>
      <c r="CY66" s="21"/>
      <c r="CZ66" s="21"/>
      <c r="DA66" s="21"/>
      <c r="DB66" s="21"/>
      <c r="DC66" s="21"/>
      <c r="DD66" s="21"/>
      <c r="DE66" s="21"/>
      <c r="DF66" s="123"/>
      <c r="DG66" s="153"/>
      <c r="DH66" s="123"/>
      <c r="DI66" s="153"/>
      <c r="DJ66" s="123"/>
      <c r="DK66" s="123"/>
      <c r="DL66" s="123"/>
      <c r="DM66" s="123"/>
      <c r="DN66" s="18"/>
      <c r="DO66" s="18"/>
      <c r="DP66" s="18"/>
      <c r="DQ66" s="18"/>
      <c r="DR66" s="18"/>
      <c r="DS66" s="18"/>
      <c r="DT66" s="18"/>
      <c r="DU66" s="18"/>
      <c r="DV66" s="18"/>
      <c r="DW66" s="18"/>
      <c r="DX66" s="18"/>
      <c r="DY66" s="18"/>
      <c r="DZ66" s="18"/>
      <c r="EA66" s="18"/>
      <c r="EB66" s="18"/>
      <c r="EC66" s="18"/>
      <c r="ED66" s="18"/>
      <c r="EE66" s="18"/>
      <c r="EF66" s="18"/>
      <c r="EG66" s="18"/>
      <c r="EH66" s="18"/>
      <c r="EI66" s="18"/>
      <c r="EJ66" s="18"/>
      <c r="EK66" s="18"/>
      <c r="EL66" s="18"/>
      <c r="EM66" s="18"/>
      <c r="EN66" s="18"/>
      <c r="EO66" s="18"/>
      <c r="EP66" s="18"/>
      <c r="EQ66" s="18"/>
      <c r="ER66" s="18"/>
      <c r="ES66" s="18"/>
      <c r="ET66" s="18"/>
      <c r="EU66" s="18"/>
      <c r="EV66" s="18"/>
      <c r="EW66" s="18"/>
      <c r="EX66" s="18"/>
      <c r="EY66" s="18"/>
      <c r="EZ66" s="18"/>
      <c r="FA66" s="18"/>
      <c r="FB66" s="18"/>
      <c r="FC66" s="18"/>
      <c r="FD66" s="18"/>
      <c r="FE66" s="18"/>
      <c r="FF66" s="18"/>
      <c r="FG66" s="18"/>
      <c r="FH66" s="18"/>
      <c r="FI66" s="18"/>
      <c r="FJ66" s="18"/>
      <c r="FK66" s="18"/>
      <c r="FL66" s="18"/>
      <c r="FM66" s="18"/>
      <c r="FN66" s="18"/>
      <c r="FO66" s="18"/>
    </row>
    <row r="67" ht="15.75" customHeight="1">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c r="AA67" s="21"/>
      <c r="AB67" s="21"/>
      <c r="AC67" s="21"/>
      <c r="AD67" s="21"/>
      <c r="AE67" s="21"/>
      <c r="AF67" s="21"/>
      <c r="AG67" s="21"/>
      <c r="AH67" s="21"/>
      <c r="AI67" s="21"/>
      <c r="AJ67" s="21"/>
      <c r="AK67" s="21"/>
      <c r="AL67" s="21"/>
      <c r="AM67" s="21"/>
      <c r="AN67" s="21"/>
      <c r="AO67" s="21"/>
      <c r="AP67" s="21"/>
      <c r="AQ67" s="21"/>
      <c r="AR67" s="21"/>
      <c r="AS67" s="21"/>
      <c r="AT67" s="21"/>
      <c r="AU67" s="21"/>
      <c r="AV67" s="21"/>
      <c r="AW67" s="21"/>
      <c r="AX67" s="21"/>
      <c r="AY67" s="21"/>
      <c r="AZ67" s="21"/>
      <c r="BA67" s="21"/>
      <c r="BB67" s="21"/>
      <c r="BC67" s="21"/>
      <c r="BD67" s="21"/>
      <c r="BE67" s="21"/>
      <c r="BF67" s="21"/>
      <c r="BG67" s="21"/>
      <c r="BH67" s="21"/>
      <c r="BI67" s="21"/>
      <c r="BJ67" s="21"/>
      <c r="BK67" s="21"/>
      <c r="BL67" s="21"/>
      <c r="BM67" s="21"/>
      <c r="BN67" s="21"/>
      <c r="BO67" s="21"/>
      <c r="BP67" s="21"/>
      <c r="BQ67" s="21"/>
      <c r="BR67" s="21"/>
      <c r="BS67" s="21"/>
      <c r="BT67" s="21"/>
      <c r="BU67" s="21"/>
      <c r="BV67" s="21"/>
      <c r="BW67" s="21"/>
      <c r="BX67" s="21"/>
      <c r="BY67" s="21"/>
      <c r="BZ67" s="21"/>
      <c r="CA67" s="21"/>
      <c r="CB67" s="21"/>
      <c r="CC67" s="21"/>
      <c r="CD67" s="21"/>
      <c r="CE67" s="21"/>
      <c r="CF67" s="21"/>
      <c r="CG67" s="21"/>
      <c r="CH67" s="21"/>
      <c r="CI67" s="21"/>
      <c r="CJ67" s="21"/>
      <c r="CK67" s="21"/>
      <c r="CL67" s="21"/>
      <c r="CM67" s="21"/>
      <c r="CN67" s="21"/>
      <c r="CO67" s="21"/>
      <c r="CP67" s="21"/>
      <c r="CQ67" s="21"/>
      <c r="CR67" s="21"/>
      <c r="CS67" s="21"/>
      <c r="CT67" s="21"/>
      <c r="CU67" s="21"/>
      <c r="CV67" s="21"/>
      <c r="CW67" s="21"/>
      <c r="CX67" s="21"/>
      <c r="CY67" s="21"/>
      <c r="CZ67" s="21"/>
      <c r="DA67" s="21"/>
      <c r="DB67" s="21"/>
      <c r="DC67" s="21"/>
      <c r="DD67" s="21"/>
      <c r="DE67" s="21"/>
      <c r="DF67" s="18"/>
      <c r="DG67" s="18"/>
      <c r="DH67" s="123"/>
      <c r="DI67" s="153"/>
      <c r="DJ67" s="123"/>
      <c r="DK67" s="123"/>
      <c r="DL67" s="123"/>
      <c r="DM67" s="123"/>
      <c r="DN67" s="18"/>
      <c r="DO67" s="18"/>
      <c r="DP67" s="18"/>
      <c r="DQ67" s="18"/>
      <c r="DR67" s="18"/>
      <c r="DS67" s="18"/>
      <c r="DT67" s="18"/>
      <c r="DU67" s="18"/>
      <c r="DV67" s="18"/>
      <c r="DW67" s="18"/>
      <c r="DX67" s="18"/>
      <c r="DY67" s="18"/>
      <c r="DZ67" s="18"/>
      <c r="EA67" s="18"/>
      <c r="EB67" s="18"/>
      <c r="EC67" s="18"/>
      <c r="ED67" s="18"/>
      <c r="EE67" s="18"/>
      <c r="EF67" s="18"/>
      <c r="EG67" s="18"/>
      <c r="EH67" s="18"/>
      <c r="EI67" s="18"/>
      <c r="EJ67" s="18"/>
      <c r="EK67" s="18"/>
      <c r="EL67" s="18"/>
      <c r="EM67" s="18"/>
      <c r="EN67" s="18"/>
      <c r="EO67" s="18"/>
      <c r="EP67" s="18"/>
      <c r="EQ67" s="18"/>
      <c r="ER67" s="18"/>
      <c r="ES67" s="18"/>
      <c r="ET67" s="18"/>
      <c r="EU67" s="18"/>
      <c r="EV67" s="18"/>
      <c r="EW67" s="18"/>
      <c r="EX67" s="18"/>
      <c r="EY67" s="18"/>
      <c r="EZ67" s="18"/>
      <c r="FA67" s="18"/>
      <c r="FB67" s="18"/>
      <c r="FC67" s="18"/>
      <c r="FD67" s="18"/>
      <c r="FE67" s="18"/>
      <c r="FF67" s="18"/>
      <c r="FG67" s="18"/>
      <c r="FH67" s="18"/>
      <c r="FI67" s="18"/>
      <c r="FJ67" s="18"/>
      <c r="FK67" s="18"/>
      <c r="FL67" s="18"/>
      <c r="FM67" s="18"/>
      <c r="FN67" s="18"/>
      <c r="FO67" s="18"/>
    </row>
    <row r="68" ht="15.75" customHeight="1">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c r="AA68" s="21"/>
      <c r="AB68" s="21"/>
      <c r="AC68" s="21"/>
      <c r="AD68" s="21"/>
      <c r="AE68" s="21"/>
      <c r="AF68" s="21"/>
      <c r="AG68" s="21"/>
      <c r="AH68" s="21"/>
      <c r="AI68" s="21"/>
      <c r="AJ68" s="21"/>
      <c r="AK68" s="21"/>
      <c r="AL68" s="21"/>
      <c r="AM68" s="21"/>
      <c r="AN68" s="21"/>
      <c r="AO68" s="21"/>
      <c r="AP68" s="21"/>
      <c r="AQ68" s="21"/>
      <c r="AR68" s="21"/>
      <c r="AS68" s="21"/>
      <c r="AT68" s="21"/>
      <c r="AU68" s="21"/>
      <c r="AV68" s="21"/>
      <c r="AW68" s="21"/>
      <c r="AX68" s="21"/>
      <c r="AY68" s="21"/>
      <c r="AZ68" s="21"/>
      <c r="BA68" s="21"/>
      <c r="BB68" s="21"/>
      <c r="BC68" s="21"/>
      <c r="BD68" s="21"/>
      <c r="BE68" s="21"/>
      <c r="BF68" s="21"/>
      <c r="BG68" s="21"/>
      <c r="BH68" s="21"/>
      <c r="BI68" s="21"/>
      <c r="BJ68" s="21"/>
      <c r="BK68" s="21"/>
      <c r="BL68" s="21"/>
      <c r="BM68" s="21"/>
      <c r="BN68" s="21"/>
      <c r="BO68" s="21"/>
      <c r="BP68" s="21"/>
      <c r="BQ68" s="21"/>
      <c r="BR68" s="21"/>
      <c r="BS68" s="21"/>
      <c r="BT68" s="21"/>
      <c r="BU68" s="21"/>
      <c r="BV68" s="21"/>
      <c r="BW68" s="21"/>
      <c r="BX68" s="21"/>
      <c r="BY68" s="21"/>
      <c r="BZ68" s="21"/>
      <c r="CA68" s="21"/>
      <c r="CB68" s="21"/>
      <c r="CC68" s="21"/>
      <c r="CD68" s="21"/>
      <c r="CE68" s="21"/>
      <c r="CF68" s="21"/>
      <c r="CG68" s="21"/>
      <c r="CH68" s="21"/>
      <c r="CI68" s="21"/>
      <c r="CJ68" s="21"/>
      <c r="CK68" s="21"/>
      <c r="CL68" s="21"/>
      <c r="CM68" s="21"/>
      <c r="CN68" s="21"/>
      <c r="CO68" s="21"/>
      <c r="CP68" s="21"/>
      <c r="CQ68" s="21"/>
      <c r="CR68" s="21"/>
      <c r="CS68" s="21"/>
      <c r="CT68" s="21"/>
      <c r="CU68" s="21"/>
      <c r="CV68" s="21"/>
      <c r="CW68" s="21"/>
      <c r="CX68" s="21"/>
      <c r="CY68" s="21"/>
      <c r="CZ68" s="21"/>
      <c r="DA68" s="21"/>
      <c r="DB68" s="21"/>
      <c r="DC68" s="21"/>
      <c r="DD68" s="21"/>
      <c r="DE68" s="21"/>
      <c r="DF68" s="18"/>
      <c r="DG68" s="18"/>
      <c r="DH68" s="123"/>
      <c r="DI68" s="153"/>
      <c r="DJ68" s="123"/>
      <c r="DK68" s="123"/>
      <c r="DL68" s="123"/>
      <c r="DM68" s="123"/>
      <c r="DN68" s="18"/>
      <c r="DO68" s="18"/>
      <c r="DP68" s="18"/>
      <c r="DQ68" s="18"/>
      <c r="DR68" s="18"/>
      <c r="DS68" s="18"/>
      <c r="DT68" s="18"/>
      <c r="DU68" s="18"/>
      <c r="DV68" s="18"/>
      <c r="DW68" s="18"/>
      <c r="DX68" s="18"/>
      <c r="DY68" s="18"/>
      <c r="DZ68" s="18"/>
      <c r="EA68" s="18"/>
      <c r="EB68" s="18"/>
      <c r="EC68" s="18"/>
      <c r="ED68" s="18"/>
      <c r="EE68" s="18"/>
      <c r="EF68" s="18"/>
      <c r="EG68" s="18"/>
      <c r="EH68" s="18"/>
      <c r="EI68" s="18"/>
      <c r="EJ68" s="18"/>
      <c r="EK68" s="18"/>
      <c r="EL68" s="18"/>
      <c r="EM68" s="18"/>
      <c r="EN68" s="18"/>
      <c r="EO68" s="18"/>
      <c r="EP68" s="18"/>
      <c r="EQ68" s="18"/>
      <c r="ER68" s="18"/>
      <c r="ES68" s="18"/>
      <c r="ET68" s="18"/>
      <c r="EU68" s="18"/>
      <c r="EV68" s="18"/>
      <c r="EW68" s="18"/>
      <c r="EX68" s="18"/>
      <c r="EY68" s="18"/>
      <c r="EZ68" s="18"/>
      <c r="FA68" s="18"/>
      <c r="FB68" s="18"/>
      <c r="FC68" s="18"/>
      <c r="FD68" s="18"/>
      <c r="FE68" s="18"/>
      <c r="FF68" s="18"/>
      <c r="FG68" s="18"/>
      <c r="FH68" s="18"/>
      <c r="FI68" s="18"/>
      <c r="FJ68" s="18"/>
      <c r="FK68" s="18"/>
      <c r="FL68" s="18"/>
      <c r="FM68" s="18"/>
      <c r="FN68" s="18"/>
      <c r="FO68" s="18"/>
    </row>
    <row r="69" ht="15.75" customHeight="1">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c r="AA69" s="21"/>
      <c r="AB69" s="21"/>
      <c r="AC69" s="21"/>
      <c r="AD69" s="21"/>
      <c r="AE69" s="21"/>
      <c r="AF69" s="21"/>
      <c r="AG69" s="21"/>
      <c r="AH69" s="21"/>
      <c r="AI69" s="21"/>
      <c r="AJ69" s="21"/>
      <c r="AK69" s="21"/>
      <c r="AL69" s="21"/>
      <c r="AM69" s="21"/>
      <c r="AN69" s="21"/>
      <c r="AO69" s="21"/>
      <c r="AP69" s="21"/>
      <c r="AQ69" s="21"/>
      <c r="AR69" s="21"/>
      <c r="AS69" s="21"/>
      <c r="AT69" s="21"/>
      <c r="AU69" s="21"/>
      <c r="AV69" s="21"/>
      <c r="AW69" s="21"/>
      <c r="AX69" s="21"/>
      <c r="AY69" s="21"/>
      <c r="AZ69" s="21"/>
      <c r="BA69" s="21"/>
      <c r="BB69" s="21"/>
      <c r="BC69" s="21"/>
      <c r="BD69" s="21"/>
      <c r="BE69" s="21"/>
      <c r="BF69" s="21"/>
      <c r="BG69" s="21"/>
      <c r="BH69" s="21"/>
      <c r="BI69" s="21"/>
      <c r="BJ69" s="21"/>
      <c r="BK69" s="21"/>
      <c r="BL69" s="21"/>
      <c r="BM69" s="21"/>
      <c r="BN69" s="21"/>
      <c r="BO69" s="21"/>
      <c r="BP69" s="21"/>
      <c r="BQ69" s="21"/>
      <c r="BR69" s="21"/>
      <c r="BS69" s="21"/>
      <c r="BT69" s="21"/>
      <c r="BU69" s="21"/>
      <c r="BV69" s="21"/>
      <c r="BW69" s="21"/>
      <c r="BX69" s="21"/>
      <c r="BY69" s="21"/>
      <c r="BZ69" s="21"/>
      <c r="CA69" s="21"/>
      <c r="CB69" s="21"/>
      <c r="CC69" s="21"/>
      <c r="CD69" s="21"/>
      <c r="CE69" s="21"/>
      <c r="CF69" s="21"/>
      <c r="CG69" s="21"/>
      <c r="CH69" s="21"/>
      <c r="CI69" s="21"/>
      <c r="CJ69" s="21"/>
      <c r="CK69" s="21"/>
      <c r="CL69" s="21"/>
      <c r="CM69" s="21"/>
      <c r="CN69" s="21"/>
      <c r="CO69" s="21"/>
      <c r="CP69" s="21"/>
      <c r="CQ69" s="21"/>
      <c r="CR69" s="21"/>
      <c r="CS69" s="21"/>
      <c r="CT69" s="21"/>
      <c r="CU69" s="21"/>
      <c r="CV69" s="21"/>
      <c r="CW69" s="21"/>
      <c r="CX69" s="21"/>
      <c r="CY69" s="21"/>
      <c r="CZ69" s="21"/>
      <c r="DA69" s="21"/>
      <c r="DB69" s="21"/>
      <c r="DC69" s="21"/>
      <c r="DD69" s="21"/>
      <c r="DE69" s="21"/>
      <c r="DF69" s="18"/>
      <c r="DG69" s="18"/>
      <c r="DH69" s="123"/>
      <c r="DI69" s="153"/>
      <c r="DJ69" s="123"/>
      <c r="DK69" s="153"/>
      <c r="DL69" s="123"/>
      <c r="DM69" s="153"/>
      <c r="DN69" s="123"/>
      <c r="DO69" s="153"/>
      <c r="DP69" s="123"/>
      <c r="DQ69" s="153"/>
      <c r="DR69" s="123"/>
      <c r="DS69" s="123"/>
      <c r="DT69" s="123"/>
      <c r="DU69" s="123"/>
      <c r="DV69" s="123"/>
      <c r="DW69" s="123"/>
      <c r="DX69" s="123"/>
      <c r="DY69" s="123"/>
      <c r="DZ69" s="123"/>
      <c r="EA69" s="123"/>
      <c r="EB69" s="18"/>
      <c r="EC69" s="18"/>
      <c r="ED69" s="18"/>
      <c r="EE69" s="18"/>
      <c r="EF69" s="18"/>
      <c r="EG69" s="18"/>
      <c r="EH69" s="18"/>
      <c r="EI69" s="18"/>
      <c r="EJ69" s="18"/>
      <c r="EK69" s="18"/>
      <c r="EL69" s="18"/>
      <c r="EM69" s="18"/>
      <c r="EN69" s="18"/>
      <c r="EO69" s="18"/>
      <c r="EP69" s="18"/>
      <c r="EQ69" s="18"/>
      <c r="ER69" s="18"/>
      <c r="ES69" s="18"/>
      <c r="ET69" s="18"/>
      <c r="EU69" s="18"/>
      <c r="EV69" s="18"/>
      <c r="EW69" s="18"/>
      <c r="EX69" s="18"/>
      <c r="EY69" s="18"/>
      <c r="EZ69" s="18"/>
      <c r="FA69" s="18"/>
      <c r="FB69" s="18"/>
      <c r="FC69" s="18"/>
      <c r="FD69" s="18"/>
      <c r="FE69" s="18"/>
      <c r="FF69" s="18"/>
      <c r="FG69" s="18"/>
      <c r="FH69" s="18"/>
      <c r="FI69" s="18"/>
      <c r="FJ69" s="18"/>
      <c r="FK69" s="18"/>
      <c r="FL69" s="18"/>
      <c r="FM69" s="18"/>
      <c r="FN69" s="18"/>
      <c r="FO69" s="18"/>
      <c r="FP69" s="18"/>
    </row>
    <row r="70" ht="15.75" customHeight="1">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c r="AA70" s="21"/>
      <c r="AB70" s="21"/>
      <c r="AC70" s="21"/>
      <c r="AD70" s="21"/>
      <c r="AE70" s="21"/>
      <c r="AF70" s="21"/>
      <c r="AG70" s="21"/>
      <c r="AH70" s="21"/>
      <c r="AI70" s="21"/>
      <c r="AJ70" s="21"/>
      <c r="AK70" s="21"/>
      <c r="AL70" s="21"/>
      <c r="AM70" s="21"/>
      <c r="AN70" s="21"/>
      <c r="AO70" s="21"/>
      <c r="AP70" s="21"/>
      <c r="AQ70" s="21"/>
      <c r="AR70" s="21"/>
      <c r="AS70" s="21"/>
      <c r="AT70" s="21"/>
      <c r="AU70" s="21"/>
      <c r="AV70" s="21"/>
      <c r="AW70" s="21"/>
      <c r="AX70" s="21"/>
      <c r="AY70" s="21"/>
      <c r="AZ70" s="21"/>
      <c r="BA70" s="21"/>
      <c r="BB70" s="21"/>
      <c r="BC70" s="21"/>
      <c r="BD70" s="21"/>
      <c r="BE70" s="21"/>
      <c r="BF70" s="21"/>
      <c r="BG70" s="21"/>
      <c r="BH70" s="21"/>
      <c r="BI70" s="21"/>
      <c r="BJ70" s="21"/>
      <c r="BK70" s="21"/>
      <c r="BL70" s="21"/>
      <c r="BM70" s="21"/>
      <c r="BN70" s="21"/>
      <c r="BO70" s="21"/>
      <c r="BP70" s="21"/>
      <c r="BQ70" s="21"/>
      <c r="BR70" s="21"/>
      <c r="BS70" s="21"/>
      <c r="BT70" s="21"/>
      <c r="BU70" s="21"/>
      <c r="BV70" s="21"/>
      <c r="BW70" s="21"/>
      <c r="BX70" s="21"/>
      <c r="BY70" s="21"/>
      <c r="BZ70" s="21"/>
      <c r="CA70" s="21"/>
      <c r="CB70" s="21"/>
      <c r="CC70" s="21"/>
      <c r="CD70" s="21"/>
      <c r="CE70" s="21"/>
      <c r="CF70" s="21"/>
      <c r="CG70" s="21"/>
      <c r="CH70" s="21"/>
      <c r="CI70" s="21"/>
      <c r="CJ70" s="21"/>
      <c r="CK70" s="21"/>
      <c r="CL70" s="21"/>
      <c r="CM70" s="21"/>
      <c r="CN70" s="21"/>
      <c r="CO70" s="21"/>
      <c r="CP70" s="21"/>
      <c r="CQ70" s="21"/>
      <c r="CR70" s="21"/>
      <c r="CS70" s="21"/>
      <c r="CT70" s="21"/>
      <c r="CU70" s="21"/>
      <c r="CV70" s="21"/>
      <c r="CW70" s="21"/>
      <c r="CX70" s="21"/>
      <c r="CY70" s="21"/>
      <c r="CZ70" s="21"/>
      <c r="DA70" s="21"/>
      <c r="DB70" s="21"/>
      <c r="DC70" s="21"/>
      <c r="DD70" s="21"/>
      <c r="DE70" s="21"/>
      <c r="DF70" s="18"/>
      <c r="DG70" s="18"/>
      <c r="DH70" s="18"/>
      <c r="DI70" s="18"/>
      <c r="DJ70" s="18"/>
      <c r="DK70" s="18"/>
      <c r="DL70" s="123"/>
      <c r="DM70" s="153"/>
      <c r="DN70" s="123"/>
      <c r="DO70" s="153"/>
      <c r="DP70" s="123"/>
      <c r="DQ70" s="153"/>
      <c r="DR70" s="123"/>
      <c r="DS70" s="123"/>
      <c r="DT70" s="123"/>
      <c r="DU70" s="123"/>
      <c r="DV70" s="123"/>
      <c r="DW70" s="123"/>
      <c r="DX70" s="123"/>
      <c r="DY70" s="123"/>
      <c r="DZ70" s="123"/>
      <c r="EA70" s="123"/>
      <c r="EB70" s="18"/>
      <c r="EC70" s="18"/>
      <c r="ED70" s="18"/>
      <c r="EE70" s="18"/>
      <c r="EF70" s="18"/>
      <c r="EG70" s="18"/>
      <c r="EH70" s="18"/>
      <c r="EI70" s="18"/>
      <c r="EJ70" s="18"/>
      <c r="EK70" s="18"/>
      <c r="EL70" s="18"/>
      <c r="EM70" s="18"/>
      <c r="EN70" s="18"/>
      <c r="EO70" s="18"/>
      <c r="EP70" s="18"/>
      <c r="EQ70" s="18"/>
      <c r="ER70" s="18"/>
      <c r="ES70" s="18"/>
      <c r="ET70" s="18"/>
      <c r="EU70" s="18"/>
      <c r="EV70" s="18"/>
      <c r="EW70" s="18"/>
      <c r="EX70" s="18"/>
      <c r="EY70" s="18"/>
      <c r="EZ70" s="18"/>
      <c r="FA70" s="18"/>
      <c r="FB70" s="18"/>
      <c r="FC70" s="18"/>
      <c r="FD70" s="18"/>
      <c r="FE70" s="18"/>
      <c r="FF70" s="18"/>
      <c r="FG70" s="18"/>
      <c r="FH70" s="18"/>
      <c r="FI70" s="18"/>
      <c r="FJ70" s="18"/>
      <c r="FK70" s="18"/>
      <c r="FL70" s="18"/>
      <c r="FM70" s="18"/>
      <c r="FN70" s="18"/>
      <c r="FO70" s="18"/>
      <c r="FP70" s="18"/>
    </row>
    <row r="71" ht="15.75" customHeight="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c r="AA71" s="21"/>
      <c r="AB71" s="21"/>
      <c r="AC71" s="21"/>
      <c r="AD71" s="21"/>
      <c r="AE71" s="21"/>
      <c r="AF71" s="21"/>
      <c r="AG71" s="21"/>
      <c r="AH71" s="21"/>
      <c r="AI71" s="21"/>
      <c r="AJ71" s="21"/>
      <c r="AK71" s="21"/>
      <c r="AL71" s="21"/>
      <c r="AM71" s="21"/>
      <c r="AN71" s="21"/>
      <c r="AO71" s="21"/>
      <c r="AP71" s="21"/>
      <c r="AQ71" s="21"/>
      <c r="AR71" s="21"/>
      <c r="AS71" s="21"/>
      <c r="AT71" s="21"/>
      <c r="AU71" s="21"/>
      <c r="AV71" s="21"/>
      <c r="AW71" s="21"/>
      <c r="AX71" s="21"/>
      <c r="AY71" s="21"/>
      <c r="AZ71" s="21"/>
      <c r="BA71" s="21"/>
      <c r="BB71" s="21"/>
      <c r="BC71" s="21"/>
      <c r="BD71" s="21"/>
      <c r="BE71" s="21"/>
      <c r="BF71" s="21"/>
      <c r="BG71" s="21"/>
      <c r="BH71" s="21"/>
      <c r="BI71" s="21"/>
      <c r="BJ71" s="21"/>
      <c r="BK71" s="21"/>
      <c r="BL71" s="21"/>
      <c r="BM71" s="21"/>
      <c r="BN71" s="21"/>
      <c r="BO71" s="21"/>
      <c r="BP71" s="21"/>
      <c r="BQ71" s="21"/>
      <c r="BR71" s="21"/>
      <c r="BS71" s="21"/>
      <c r="BT71" s="21"/>
      <c r="BU71" s="21"/>
      <c r="BV71" s="21"/>
      <c r="BW71" s="21"/>
      <c r="BX71" s="21"/>
      <c r="BY71" s="21"/>
      <c r="BZ71" s="21"/>
      <c r="CA71" s="21"/>
      <c r="CB71" s="21"/>
      <c r="CC71" s="21"/>
      <c r="CD71" s="21"/>
      <c r="CE71" s="21"/>
      <c r="CF71" s="21"/>
      <c r="CG71" s="21"/>
      <c r="CH71" s="21"/>
      <c r="CI71" s="21"/>
      <c r="CJ71" s="21"/>
      <c r="CK71" s="21"/>
      <c r="CL71" s="21"/>
      <c r="CM71" s="21"/>
      <c r="CN71" s="21"/>
      <c r="CO71" s="21"/>
      <c r="CP71" s="21"/>
      <c r="CQ71" s="21"/>
      <c r="CR71" s="21"/>
      <c r="CS71" s="21"/>
      <c r="CT71" s="21"/>
      <c r="CU71" s="21"/>
      <c r="CV71" s="21"/>
      <c r="CW71" s="21"/>
      <c r="CX71" s="21"/>
      <c r="CY71" s="21"/>
      <c r="CZ71" s="21"/>
      <c r="DA71" s="21"/>
      <c r="DB71" s="21"/>
      <c r="DC71" s="21"/>
      <c r="DD71" s="21"/>
      <c r="DE71" s="21"/>
      <c r="DF71" s="18"/>
      <c r="DG71" s="18"/>
      <c r="DH71" s="18"/>
      <c r="DI71" s="18"/>
      <c r="DJ71" s="18"/>
      <c r="DK71" s="18"/>
      <c r="DL71" s="123"/>
      <c r="DM71" s="153"/>
      <c r="DN71" s="123"/>
      <c r="DO71" s="153"/>
      <c r="DP71" s="123"/>
      <c r="DQ71" s="153"/>
      <c r="DR71" s="123"/>
      <c r="DS71" s="123"/>
      <c r="DT71" s="123"/>
      <c r="DU71" s="123"/>
      <c r="DV71" s="123"/>
      <c r="DW71" s="123"/>
      <c r="DX71" s="123"/>
      <c r="DY71" s="123"/>
      <c r="DZ71" s="123"/>
      <c r="EA71" s="123"/>
      <c r="EB71" s="18"/>
      <c r="EC71" s="18"/>
      <c r="ED71" s="18"/>
      <c r="EE71" s="18"/>
      <c r="EF71" s="18"/>
      <c r="EG71" s="18"/>
      <c r="EH71" s="18"/>
      <c r="EI71" s="18"/>
      <c r="EJ71" s="18"/>
      <c r="EK71" s="18"/>
      <c r="EL71" s="18"/>
      <c r="EM71" s="18"/>
      <c r="EN71" s="18"/>
      <c r="EO71" s="18"/>
      <c r="EP71" s="18"/>
      <c r="EQ71" s="18"/>
      <c r="ER71" s="18"/>
      <c r="ES71" s="18"/>
      <c r="ET71" s="18"/>
      <c r="EU71" s="18"/>
      <c r="EV71" s="18"/>
      <c r="EW71" s="18"/>
      <c r="EX71" s="18"/>
      <c r="EY71" s="18"/>
      <c r="EZ71" s="18"/>
      <c r="FA71" s="18"/>
      <c r="FB71" s="18"/>
      <c r="FC71" s="18"/>
      <c r="FD71" s="18"/>
      <c r="FE71" s="18"/>
      <c r="FF71" s="18"/>
      <c r="FG71" s="18"/>
      <c r="FH71" s="18"/>
      <c r="FI71" s="18"/>
      <c r="FJ71" s="18"/>
      <c r="FK71" s="18"/>
      <c r="FL71" s="18"/>
      <c r="FM71" s="18"/>
      <c r="FN71" s="18"/>
      <c r="FO71" s="18"/>
      <c r="FP71" s="18"/>
    </row>
    <row r="72" ht="15.75" customHeight="1">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c r="AA72" s="21"/>
      <c r="AB72" s="21"/>
      <c r="AC72" s="21"/>
      <c r="AD72" s="21"/>
      <c r="AE72" s="21"/>
      <c r="AF72" s="21"/>
      <c r="AG72" s="21"/>
      <c r="AH72" s="21"/>
      <c r="AI72" s="21"/>
      <c r="AJ72" s="21"/>
      <c r="AK72" s="21"/>
      <c r="AL72" s="21"/>
      <c r="AM72" s="21"/>
      <c r="AN72" s="21"/>
      <c r="AO72" s="21"/>
      <c r="AP72" s="21"/>
      <c r="AQ72" s="21"/>
      <c r="AR72" s="21"/>
      <c r="AS72" s="21"/>
      <c r="AT72" s="21"/>
      <c r="AU72" s="21"/>
      <c r="AV72" s="21"/>
      <c r="AW72" s="21"/>
      <c r="AX72" s="21"/>
      <c r="AY72" s="21"/>
      <c r="AZ72" s="21"/>
      <c r="BA72" s="21"/>
      <c r="BB72" s="21"/>
      <c r="BC72" s="21"/>
      <c r="BD72" s="21"/>
      <c r="BE72" s="21"/>
      <c r="BF72" s="21"/>
      <c r="BG72" s="21"/>
      <c r="BH72" s="21"/>
      <c r="BI72" s="21"/>
      <c r="BJ72" s="21"/>
      <c r="BK72" s="21"/>
      <c r="BL72" s="21"/>
      <c r="BM72" s="21"/>
      <c r="BN72" s="21"/>
      <c r="BO72" s="21"/>
      <c r="BP72" s="21"/>
      <c r="BQ72" s="21"/>
      <c r="BR72" s="21"/>
      <c r="BS72" s="21"/>
      <c r="BT72" s="21"/>
      <c r="BU72" s="21"/>
      <c r="BV72" s="21"/>
      <c r="BW72" s="21"/>
      <c r="BX72" s="21"/>
      <c r="BY72" s="21"/>
      <c r="BZ72" s="21"/>
      <c r="CA72" s="21"/>
      <c r="CB72" s="21"/>
      <c r="CC72" s="21"/>
      <c r="CD72" s="21"/>
      <c r="CE72" s="21"/>
      <c r="CF72" s="21"/>
      <c r="CG72" s="21"/>
      <c r="CH72" s="21"/>
      <c r="CI72" s="21"/>
      <c r="CJ72" s="21"/>
      <c r="CK72" s="21"/>
      <c r="CL72" s="21"/>
      <c r="CM72" s="21"/>
      <c r="CN72" s="21"/>
      <c r="CO72" s="21"/>
      <c r="CP72" s="21"/>
      <c r="CQ72" s="21"/>
      <c r="CR72" s="21"/>
      <c r="CS72" s="21"/>
      <c r="CT72" s="21"/>
      <c r="CU72" s="21"/>
      <c r="CV72" s="21"/>
      <c r="CW72" s="21"/>
      <c r="CX72" s="21"/>
      <c r="CY72" s="21"/>
      <c r="CZ72" s="21"/>
      <c r="DA72" s="21"/>
      <c r="DB72" s="21"/>
      <c r="DC72" s="21"/>
      <c r="DD72" s="21"/>
      <c r="DE72" s="21"/>
      <c r="DF72" s="18"/>
      <c r="DG72" s="18"/>
      <c r="DH72" s="18"/>
      <c r="DI72" s="18"/>
      <c r="DJ72" s="18"/>
      <c r="DK72" s="18"/>
      <c r="DL72" s="123"/>
      <c r="DM72" s="153"/>
      <c r="DN72" s="18"/>
      <c r="DO72" s="18"/>
      <c r="DP72" s="123"/>
      <c r="DQ72" s="153"/>
      <c r="DR72" s="123"/>
      <c r="DS72" s="123"/>
      <c r="DT72" s="123"/>
      <c r="DU72" s="123"/>
      <c r="DV72" s="123"/>
      <c r="DW72" s="123"/>
      <c r="DX72" s="123"/>
      <c r="DY72" s="123"/>
      <c r="DZ72" s="123"/>
      <c r="EA72" s="123"/>
      <c r="EB72" s="18"/>
      <c r="EC72" s="18"/>
      <c r="ED72" s="18"/>
      <c r="EE72" s="18"/>
      <c r="EF72" s="18"/>
      <c r="EG72" s="18"/>
      <c r="EH72" s="18"/>
      <c r="EI72" s="18"/>
      <c r="EJ72" s="18"/>
      <c r="EK72" s="18"/>
      <c r="EL72" s="18"/>
      <c r="EM72" s="18"/>
      <c r="EN72" s="18"/>
      <c r="EO72" s="18"/>
      <c r="EP72" s="18"/>
      <c r="EQ72" s="18"/>
      <c r="ER72" s="18"/>
      <c r="ES72" s="18"/>
      <c r="ET72" s="18"/>
      <c r="EU72" s="18"/>
      <c r="EV72" s="18"/>
      <c r="EW72" s="18"/>
      <c r="EX72" s="18"/>
      <c r="EY72" s="18"/>
      <c r="EZ72" s="18"/>
      <c r="FA72" s="18"/>
      <c r="FB72" s="18"/>
      <c r="FC72" s="18"/>
      <c r="FD72" s="18"/>
      <c r="FE72" s="18"/>
      <c r="FF72" s="18"/>
      <c r="FG72" s="18"/>
      <c r="FH72" s="18"/>
      <c r="FI72" s="18"/>
      <c r="FJ72" s="18"/>
      <c r="FK72" s="18"/>
      <c r="FL72" s="18"/>
      <c r="FM72" s="18"/>
      <c r="FN72" s="18"/>
      <c r="FO72" s="18"/>
      <c r="FP72" s="18"/>
    </row>
    <row r="73" ht="15.75" customHeight="1">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c r="AA73" s="21"/>
      <c r="AB73" s="21"/>
      <c r="AC73" s="21"/>
      <c r="AD73" s="21"/>
      <c r="AE73" s="21"/>
      <c r="AF73" s="21"/>
      <c r="AG73" s="21"/>
      <c r="AH73" s="21"/>
      <c r="AI73" s="21"/>
      <c r="AJ73" s="21"/>
      <c r="AK73" s="21"/>
      <c r="AL73" s="21"/>
      <c r="AM73" s="21"/>
      <c r="AN73" s="21"/>
      <c r="AO73" s="21"/>
      <c r="AP73" s="21"/>
      <c r="AQ73" s="21"/>
      <c r="AR73" s="21"/>
      <c r="AS73" s="21"/>
      <c r="AT73" s="21"/>
      <c r="AU73" s="21"/>
      <c r="AV73" s="21"/>
      <c r="AW73" s="21"/>
      <c r="AX73" s="21"/>
      <c r="AY73" s="21"/>
      <c r="AZ73" s="21"/>
      <c r="BA73" s="21"/>
      <c r="BB73" s="21"/>
      <c r="BC73" s="21"/>
      <c r="BD73" s="21"/>
      <c r="BE73" s="21"/>
      <c r="BF73" s="21"/>
      <c r="BG73" s="21"/>
      <c r="BH73" s="21"/>
      <c r="BI73" s="21"/>
      <c r="BJ73" s="21"/>
      <c r="BK73" s="21"/>
      <c r="BL73" s="21"/>
      <c r="BM73" s="21"/>
      <c r="BN73" s="21"/>
      <c r="BO73" s="21"/>
      <c r="BP73" s="21"/>
      <c r="BQ73" s="21"/>
      <c r="BR73" s="21"/>
      <c r="BS73" s="21"/>
      <c r="BT73" s="21"/>
      <c r="BU73" s="21"/>
      <c r="BV73" s="21"/>
      <c r="BW73" s="21"/>
      <c r="BX73" s="21"/>
      <c r="BY73" s="21"/>
      <c r="BZ73" s="21"/>
      <c r="CA73" s="21"/>
      <c r="CB73" s="21"/>
      <c r="CC73" s="21"/>
      <c r="CD73" s="21"/>
      <c r="CE73" s="21"/>
      <c r="CF73" s="21"/>
      <c r="CG73" s="21"/>
      <c r="CH73" s="21"/>
      <c r="CI73" s="21"/>
      <c r="CJ73" s="21"/>
      <c r="CK73" s="21"/>
      <c r="CL73" s="21"/>
      <c r="CM73" s="21"/>
      <c r="CN73" s="21"/>
      <c r="CO73" s="21"/>
      <c r="CP73" s="21"/>
      <c r="CQ73" s="21"/>
      <c r="CR73" s="21"/>
      <c r="CS73" s="21"/>
      <c r="CT73" s="21"/>
      <c r="CU73" s="21"/>
      <c r="CV73" s="21"/>
      <c r="CW73" s="21"/>
      <c r="CX73" s="21"/>
      <c r="CY73" s="21"/>
      <c r="CZ73" s="21"/>
      <c r="DA73" s="21"/>
      <c r="DB73" s="21"/>
      <c r="DC73" s="21"/>
      <c r="DD73" s="21"/>
      <c r="DE73" s="21"/>
      <c r="DF73" s="18"/>
      <c r="DG73" s="18"/>
      <c r="DH73" s="18"/>
      <c r="DI73" s="18"/>
      <c r="DJ73" s="18"/>
      <c r="DK73" s="18"/>
      <c r="DL73" s="18"/>
      <c r="DM73" s="18"/>
      <c r="DN73" s="18"/>
      <c r="DO73" s="18"/>
      <c r="DP73" s="123"/>
      <c r="DQ73" s="153"/>
      <c r="DR73" s="123"/>
      <c r="DS73" s="123"/>
      <c r="DT73" s="123"/>
      <c r="DU73" s="123"/>
      <c r="DV73" s="123"/>
      <c r="DW73" s="123"/>
      <c r="DX73" s="123"/>
      <c r="DY73" s="123"/>
      <c r="DZ73" s="123"/>
      <c r="EA73" s="123"/>
      <c r="EB73" s="123"/>
      <c r="EC73" s="123"/>
      <c r="ED73" s="18"/>
      <c r="EE73" s="18"/>
      <c r="EF73" s="18"/>
      <c r="EG73" s="18"/>
      <c r="EH73" s="18"/>
      <c r="EI73" s="18"/>
      <c r="EJ73" s="18"/>
      <c r="EK73" s="18"/>
      <c r="EL73" s="18"/>
      <c r="EM73" s="18"/>
      <c r="EN73" s="18"/>
      <c r="EO73" s="18"/>
      <c r="EP73" s="18"/>
      <c r="EQ73" s="18"/>
      <c r="ER73" s="18"/>
      <c r="ES73" s="18"/>
      <c r="ET73" s="18"/>
      <c r="EU73" s="18"/>
      <c r="EV73" s="18"/>
      <c r="EW73" s="18"/>
      <c r="EX73" s="18"/>
      <c r="EY73" s="18"/>
      <c r="EZ73" s="18"/>
      <c r="FA73" s="18"/>
      <c r="FB73" s="18"/>
      <c r="FC73" s="18"/>
      <c r="FD73" s="18"/>
      <c r="FE73" s="18"/>
      <c r="FF73" s="18"/>
      <c r="FG73" s="18"/>
      <c r="FH73" s="18"/>
      <c r="FI73" s="18"/>
      <c r="FJ73" s="18"/>
      <c r="FK73" s="18"/>
      <c r="FL73" s="18"/>
      <c r="FM73" s="18"/>
      <c r="FN73" s="18"/>
      <c r="FO73" s="18"/>
      <c r="FP73" s="18"/>
    </row>
    <row r="74" ht="15.75" customHeight="1">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c r="AA74" s="21"/>
      <c r="AB74" s="21"/>
      <c r="AC74" s="21"/>
      <c r="AD74" s="21"/>
      <c r="AE74" s="21"/>
      <c r="AF74" s="21"/>
      <c r="AG74" s="21"/>
      <c r="AH74" s="21"/>
      <c r="AI74" s="21"/>
      <c r="AJ74" s="21"/>
      <c r="AK74" s="21"/>
      <c r="AL74" s="21"/>
      <c r="AM74" s="21"/>
      <c r="AN74" s="21"/>
      <c r="AO74" s="21"/>
      <c r="AP74" s="21"/>
      <c r="AQ74" s="21"/>
      <c r="AR74" s="21"/>
      <c r="AS74" s="21"/>
      <c r="AT74" s="21"/>
      <c r="AU74" s="21"/>
      <c r="AV74" s="21"/>
      <c r="AW74" s="21"/>
      <c r="AX74" s="21"/>
      <c r="AY74" s="21"/>
      <c r="AZ74" s="21"/>
      <c r="BA74" s="21"/>
      <c r="BB74" s="21"/>
      <c r="BC74" s="21"/>
      <c r="BD74" s="21"/>
      <c r="BE74" s="21"/>
      <c r="BF74" s="21"/>
      <c r="BG74" s="21"/>
      <c r="BH74" s="21"/>
      <c r="BI74" s="21"/>
      <c r="BJ74" s="21"/>
      <c r="BK74" s="21"/>
      <c r="BL74" s="21"/>
      <c r="BM74" s="21"/>
      <c r="BN74" s="21"/>
      <c r="BO74" s="21"/>
      <c r="BP74" s="21"/>
      <c r="BQ74" s="21"/>
      <c r="BR74" s="21"/>
      <c r="BS74" s="21"/>
      <c r="BT74" s="21"/>
      <c r="BU74" s="21"/>
      <c r="BV74" s="21"/>
      <c r="BW74" s="21"/>
      <c r="BX74" s="21"/>
      <c r="BY74" s="21"/>
      <c r="BZ74" s="21"/>
      <c r="CA74" s="21"/>
      <c r="CB74" s="21"/>
      <c r="CC74" s="21"/>
      <c r="CD74" s="21"/>
      <c r="CE74" s="21"/>
      <c r="CF74" s="21"/>
      <c r="CG74" s="21"/>
      <c r="CH74" s="21"/>
      <c r="CI74" s="21"/>
      <c r="CJ74" s="21"/>
      <c r="CK74" s="21"/>
      <c r="CL74" s="21"/>
      <c r="CM74" s="21"/>
      <c r="CN74" s="21"/>
      <c r="CO74" s="21"/>
      <c r="CP74" s="21"/>
      <c r="CQ74" s="21"/>
      <c r="CR74" s="21"/>
      <c r="CS74" s="21"/>
      <c r="CT74" s="21"/>
      <c r="CU74" s="21"/>
      <c r="CV74" s="21"/>
      <c r="CW74" s="21"/>
      <c r="CX74" s="21"/>
      <c r="CY74" s="21"/>
      <c r="CZ74" s="21"/>
      <c r="DA74" s="21"/>
      <c r="DB74" s="21"/>
      <c r="DC74" s="21"/>
      <c r="DD74" s="21"/>
      <c r="DE74" s="21"/>
      <c r="DF74" s="18"/>
      <c r="DG74" s="18"/>
      <c r="DH74" s="18"/>
      <c r="DI74" s="18"/>
      <c r="DJ74" s="18"/>
      <c r="DK74" s="18"/>
      <c r="DL74" s="18"/>
      <c r="DM74" s="18"/>
      <c r="DN74" s="18"/>
      <c r="DO74" s="18"/>
      <c r="DP74" s="123"/>
      <c r="DQ74" s="153"/>
      <c r="DR74" s="123"/>
      <c r="DS74" s="123"/>
      <c r="DT74" s="123"/>
      <c r="DU74" s="123"/>
      <c r="DV74" s="123"/>
      <c r="DW74" s="123"/>
      <c r="DX74" s="123"/>
      <c r="DY74" s="123"/>
      <c r="DZ74" s="123"/>
      <c r="EA74" s="123"/>
      <c r="EB74" s="123"/>
      <c r="EC74" s="123"/>
      <c r="ED74" s="18"/>
      <c r="EE74" s="18"/>
      <c r="EF74" s="18"/>
      <c r="EG74" s="18"/>
      <c r="EH74" s="18"/>
      <c r="EI74" s="18"/>
      <c r="EJ74" s="18"/>
      <c r="EK74" s="18"/>
      <c r="EL74" s="18"/>
      <c r="EM74" s="18"/>
      <c r="EN74" s="18"/>
      <c r="EO74" s="18"/>
      <c r="EP74" s="18"/>
      <c r="EQ74" s="18"/>
      <c r="ER74" s="18"/>
      <c r="ES74" s="18"/>
      <c r="ET74" s="18"/>
      <c r="EU74" s="18"/>
      <c r="EV74" s="18"/>
      <c r="EW74" s="18"/>
      <c r="EX74" s="18"/>
      <c r="EY74" s="18"/>
      <c r="EZ74" s="18"/>
      <c r="FA74" s="18"/>
      <c r="FB74" s="18"/>
      <c r="FC74" s="18"/>
      <c r="FD74" s="18"/>
      <c r="FE74" s="18"/>
      <c r="FF74" s="18"/>
      <c r="FG74" s="18"/>
      <c r="FH74" s="18"/>
      <c r="FI74" s="18"/>
      <c r="FJ74" s="18"/>
      <c r="FK74" s="18"/>
      <c r="FL74" s="18"/>
      <c r="FM74" s="18"/>
      <c r="FN74" s="18"/>
      <c r="FO74" s="18"/>
      <c r="FP74" s="18"/>
    </row>
    <row r="75" ht="15.75" customHeight="1">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c r="AA75" s="21"/>
      <c r="AB75" s="21"/>
      <c r="AC75" s="21"/>
      <c r="AD75" s="21"/>
      <c r="AE75" s="21"/>
      <c r="AF75" s="21"/>
      <c r="AG75" s="21"/>
      <c r="AH75" s="21"/>
      <c r="AI75" s="21"/>
      <c r="AJ75" s="21"/>
      <c r="AK75" s="21"/>
      <c r="AL75" s="21"/>
      <c r="AM75" s="21"/>
      <c r="AN75" s="21"/>
      <c r="AO75" s="21"/>
      <c r="AP75" s="21"/>
      <c r="AQ75" s="21"/>
      <c r="AR75" s="21"/>
      <c r="AS75" s="21"/>
      <c r="AT75" s="21"/>
      <c r="AU75" s="21"/>
      <c r="AV75" s="21"/>
      <c r="AW75" s="21"/>
      <c r="AX75" s="21"/>
      <c r="AY75" s="21"/>
      <c r="AZ75" s="21"/>
      <c r="BA75" s="21"/>
      <c r="BB75" s="21"/>
      <c r="BC75" s="21"/>
      <c r="BD75" s="21"/>
      <c r="BE75" s="21"/>
      <c r="BF75" s="21"/>
      <c r="BG75" s="21"/>
      <c r="BH75" s="21"/>
      <c r="BI75" s="21"/>
      <c r="BJ75" s="21"/>
      <c r="BK75" s="21"/>
      <c r="BL75" s="21"/>
      <c r="BM75" s="21"/>
      <c r="BN75" s="21"/>
      <c r="BO75" s="21"/>
      <c r="BP75" s="21"/>
      <c r="BQ75" s="21"/>
      <c r="BR75" s="21"/>
      <c r="BS75" s="21"/>
      <c r="BT75" s="21"/>
      <c r="BU75" s="21"/>
      <c r="BV75" s="21"/>
      <c r="BW75" s="21"/>
      <c r="BX75" s="21"/>
      <c r="BY75" s="21"/>
      <c r="BZ75" s="21"/>
      <c r="CA75" s="21"/>
      <c r="CB75" s="21"/>
      <c r="CC75" s="21"/>
      <c r="CD75" s="21"/>
      <c r="CE75" s="21"/>
      <c r="CF75" s="21"/>
      <c r="CG75" s="21"/>
      <c r="CH75" s="21"/>
      <c r="CI75" s="21"/>
      <c r="CJ75" s="21"/>
      <c r="CK75" s="21"/>
      <c r="CL75" s="21"/>
      <c r="CM75" s="21"/>
      <c r="CN75" s="21"/>
      <c r="CO75" s="21"/>
      <c r="CP75" s="21"/>
      <c r="CQ75" s="21"/>
      <c r="CR75" s="21"/>
      <c r="CS75" s="21"/>
      <c r="CT75" s="21"/>
      <c r="CU75" s="21"/>
      <c r="CV75" s="21"/>
      <c r="CW75" s="21"/>
      <c r="CX75" s="21"/>
      <c r="CY75" s="21"/>
      <c r="CZ75" s="21"/>
      <c r="DA75" s="21"/>
      <c r="DB75" s="21"/>
      <c r="DC75" s="21"/>
      <c r="DD75" s="21"/>
      <c r="DE75" s="21"/>
      <c r="DF75" s="18"/>
      <c r="DG75" s="18"/>
      <c r="DH75" s="18"/>
      <c r="DI75" s="18"/>
      <c r="DJ75" s="18"/>
      <c r="DK75" s="18"/>
      <c r="DL75" s="18"/>
      <c r="DM75" s="18"/>
      <c r="DN75" s="18"/>
      <c r="DO75" s="18"/>
      <c r="DP75" s="18"/>
      <c r="DQ75" s="18"/>
      <c r="DR75" s="18"/>
      <c r="DS75" s="18"/>
      <c r="DT75" s="123"/>
      <c r="DU75" s="123"/>
      <c r="DV75" s="123"/>
      <c r="DW75" s="123"/>
      <c r="DX75" s="123"/>
      <c r="DY75" s="123"/>
      <c r="DZ75" s="18"/>
      <c r="EA75" s="18"/>
      <c r="EB75" s="18"/>
      <c r="EC75" s="18"/>
      <c r="ED75" s="18"/>
      <c r="EE75" s="18"/>
      <c r="EF75" s="18"/>
      <c r="EG75" s="18"/>
      <c r="EH75" s="18"/>
      <c r="EI75" s="18"/>
      <c r="EJ75" s="18"/>
      <c r="EK75" s="18"/>
      <c r="EL75" s="18"/>
      <c r="EM75" s="18"/>
      <c r="EN75" s="18"/>
      <c r="EO75" s="18"/>
      <c r="EP75" s="18"/>
      <c r="EQ75" s="18"/>
      <c r="ER75" s="18"/>
      <c r="ES75" s="18"/>
      <c r="ET75" s="18"/>
      <c r="EU75" s="18"/>
      <c r="EV75" s="18"/>
      <c r="EW75" s="18"/>
      <c r="EX75" s="18"/>
      <c r="EY75" s="18"/>
      <c r="EZ75" s="18"/>
      <c r="FA75" s="18"/>
      <c r="FB75" s="18"/>
      <c r="FC75" s="18"/>
      <c r="FD75" s="18"/>
      <c r="FE75" s="18"/>
      <c r="FF75" s="18"/>
      <c r="FG75" s="18"/>
      <c r="FH75" s="18"/>
      <c r="FI75" s="18"/>
      <c r="FJ75" s="18"/>
      <c r="FK75" s="18"/>
      <c r="FL75" s="18"/>
      <c r="FM75" s="18"/>
      <c r="FN75" s="18"/>
      <c r="FO75" s="18"/>
      <c r="FP75" s="18"/>
    </row>
    <row r="76" ht="15.75" customHeight="1">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c r="AA76" s="21"/>
      <c r="AB76" s="21"/>
      <c r="AC76" s="21"/>
      <c r="AD76" s="21"/>
      <c r="AE76" s="21"/>
      <c r="AF76" s="21"/>
      <c r="AG76" s="21"/>
      <c r="AH76" s="21"/>
      <c r="AI76" s="21"/>
      <c r="AJ76" s="21"/>
      <c r="AK76" s="21"/>
      <c r="AL76" s="21"/>
      <c r="AM76" s="21"/>
      <c r="AN76" s="21"/>
      <c r="AO76" s="21"/>
      <c r="AP76" s="21"/>
      <c r="AQ76" s="21"/>
      <c r="AR76" s="21"/>
      <c r="AS76" s="21"/>
      <c r="AT76" s="21"/>
      <c r="AU76" s="21"/>
      <c r="AV76" s="21"/>
      <c r="AW76" s="21"/>
      <c r="AX76" s="21"/>
      <c r="AY76" s="21"/>
      <c r="AZ76" s="21"/>
      <c r="BA76" s="21"/>
      <c r="BB76" s="21"/>
      <c r="BC76" s="21"/>
      <c r="BD76" s="21"/>
      <c r="BE76" s="21"/>
      <c r="BF76" s="21"/>
      <c r="BG76" s="21"/>
      <c r="BH76" s="21"/>
      <c r="BI76" s="21"/>
      <c r="BJ76" s="21"/>
      <c r="BK76" s="21"/>
      <c r="BL76" s="21"/>
      <c r="BM76" s="21"/>
      <c r="BN76" s="21"/>
      <c r="BO76" s="21"/>
      <c r="BP76" s="21"/>
      <c r="BQ76" s="21"/>
      <c r="BR76" s="21"/>
      <c r="BS76" s="21"/>
      <c r="BT76" s="21"/>
      <c r="BU76" s="21"/>
      <c r="BV76" s="21"/>
      <c r="BW76" s="21"/>
      <c r="BX76" s="21"/>
      <c r="BY76" s="21"/>
      <c r="BZ76" s="21"/>
      <c r="CA76" s="21"/>
      <c r="CB76" s="21"/>
      <c r="CC76" s="21"/>
      <c r="CD76" s="21"/>
      <c r="CE76" s="21"/>
      <c r="CF76" s="21"/>
      <c r="CG76" s="21"/>
      <c r="CH76" s="21"/>
      <c r="CI76" s="21"/>
      <c r="CJ76" s="21"/>
      <c r="CK76" s="21"/>
      <c r="CL76" s="21"/>
      <c r="CM76" s="21"/>
      <c r="CN76" s="21"/>
      <c r="CO76" s="21"/>
      <c r="CP76" s="21"/>
      <c r="CQ76" s="21"/>
      <c r="CR76" s="21"/>
      <c r="CS76" s="21"/>
      <c r="CT76" s="21"/>
      <c r="CU76" s="21"/>
      <c r="CV76" s="21"/>
      <c r="CW76" s="21"/>
      <c r="CX76" s="21"/>
      <c r="CY76" s="21"/>
      <c r="CZ76" s="21"/>
      <c r="DA76" s="21"/>
      <c r="DB76" s="21"/>
      <c r="DC76" s="21"/>
      <c r="DD76" s="21"/>
      <c r="DE76" s="21"/>
      <c r="DF76" s="18"/>
      <c r="DG76" s="18"/>
      <c r="DH76" s="18"/>
      <c r="DI76" s="18"/>
      <c r="DJ76" s="18"/>
      <c r="DK76" s="18"/>
      <c r="DL76" s="18"/>
      <c r="DM76" s="18"/>
      <c r="DN76" s="18"/>
      <c r="DO76" s="18"/>
      <c r="DP76" s="18"/>
      <c r="DQ76" s="18"/>
      <c r="DR76" s="18"/>
      <c r="DS76" s="18"/>
      <c r="DT76" s="123"/>
      <c r="DU76" s="123"/>
      <c r="DV76" s="123"/>
      <c r="DW76" s="123"/>
      <c r="DX76" s="123"/>
      <c r="DY76" s="123"/>
      <c r="DZ76" s="18"/>
      <c r="EA76" s="18"/>
      <c r="EB76" s="18"/>
      <c r="EC76" s="18"/>
      <c r="ED76" s="18"/>
      <c r="EE76" s="18"/>
      <c r="EF76" s="18"/>
      <c r="EG76" s="18"/>
      <c r="EH76" s="18"/>
      <c r="EI76" s="18"/>
      <c r="EJ76" s="18"/>
      <c r="EK76" s="18"/>
      <c r="EL76" s="18"/>
      <c r="EM76" s="18"/>
      <c r="EN76" s="18"/>
      <c r="EO76" s="18"/>
      <c r="EP76" s="18"/>
      <c r="EQ76" s="18"/>
      <c r="ER76" s="18"/>
      <c r="ES76" s="18"/>
      <c r="ET76" s="18"/>
      <c r="EU76" s="18"/>
      <c r="EV76" s="18"/>
      <c r="EW76" s="18"/>
      <c r="EX76" s="18"/>
      <c r="EY76" s="18"/>
      <c r="EZ76" s="18"/>
      <c r="FA76" s="18"/>
      <c r="FB76" s="18"/>
      <c r="FC76" s="18"/>
      <c r="FD76" s="18"/>
      <c r="FE76" s="18"/>
      <c r="FF76" s="18"/>
      <c r="FG76" s="18"/>
      <c r="FH76" s="18"/>
      <c r="FI76" s="18"/>
      <c r="FJ76" s="18"/>
      <c r="FK76" s="18"/>
      <c r="FL76" s="18"/>
      <c r="FM76" s="18"/>
      <c r="FN76" s="18"/>
      <c r="FO76" s="18"/>
      <c r="FP76" s="18"/>
    </row>
    <row r="77" ht="15.75" customHeight="1">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c r="AA77" s="21"/>
      <c r="AB77" s="21"/>
      <c r="AC77" s="21"/>
      <c r="AD77" s="21"/>
      <c r="AE77" s="21"/>
      <c r="AF77" s="21"/>
      <c r="AG77" s="21"/>
      <c r="AH77" s="21"/>
      <c r="AI77" s="21"/>
      <c r="AJ77" s="21"/>
      <c r="AK77" s="21"/>
      <c r="AL77" s="21"/>
      <c r="AM77" s="21"/>
      <c r="AN77" s="21"/>
      <c r="AO77" s="21"/>
      <c r="AP77" s="21"/>
      <c r="AQ77" s="21"/>
      <c r="AR77" s="21"/>
      <c r="AS77" s="21"/>
      <c r="AT77" s="21"/>
      <c r="AU77" s="21"/>
      <c r="AV77" s="21"/>
      <c r="AW77" s="21"/>
      <c r="AX77" s="21"/>
      <c r="AY77" s="21"/>
      <c r="AZ77" s="21"/>
      <c r="BA77" s="21"/>
      <c r="BB77" s="21"/>
      <c r="BC77" s="21"/>
      <c r="BD77" s="21"/>
      <c r="BE77" s="21"/>
      <c r="BF77" s="21"/>
      <c r="BG77" s="21"/>
      <c r="BH77" s="21"/>
      <c r="BI77" s="21"/>
      <c r="BJ77" s="21"/>
      <c r="BK77" s="21"/>
      <c r="BL77" s="21"/>
      <c r="BM77" s="21"/>
      <c r="BN77" s="21"/>
      <c r="BO77" s="21"/>
      <c r="BP77" s="21"/>
      <c r="BQ77" s="21"/>
      <c r="BR77" s="21"/>
      <c r="BS77" s="21"/>
      <c r="BT77" s="21"/>
      <c r="BU77" s="21"/>
      <c r="BV77" s="21"/>
      <c r="BW77" s="21"/>
      <c r="BX77" s="21"/>
      <c r="BY77" s="21"/>
      <c r="BZ77" s="21"/>
      <c r="CA77" s="21"/>
      <c r="CB77" s="21"/>
      <c r="CC77" s="21"/>
      <c r="CD77" s="21"/>
      <c r="CE77" s="21"/>
      <c r="CF77" s="21"/>
      <c r="CG77" s="21"/>
      <c r="CH77" s="21"/>
      <c r="CI77" s="21"/>
      <c r="CJ77" s="21"/>
      <c r="CK77" s="21"/>
      <c r="CL77" s="21"/>
      <c r="CM77" s="21"/>
      <c r="CN77" s="21"/>
      <c r="CO77" s="21"/>
      <c r="CP77" s="21"/>
      <c r="CQ77" s="21"/>
      <c r="CR77" s="21"/>
      <c r="CS77" s="21"/>
      <c r="CT77" s="21"/>
      <c r="CU77" s="21"/>
      <c r="CV77" s="21"/>
      <c r="CW77" s="21"/>
      <c r="CX77" s="21"/>
      <c r="CY77" s="21"/>
      <c r="CZ77" s="21"/>
      <c r="DA77" s="21"/>
      <c r="DB77" s="21"/>
      <c r="DC77" s="21"/>
      <c r="DD77" s="21"/>
      <c r="DE77" s="21"/>
      <c r="DF77" s="18"/>
      <c r="DG77" s="18"/>
      <c r="DH77" s="18"/>
      <c r="DI77" s="18"/>
      <c r="DJ77" s="18"/>
      <c r="DK77" s="18"/>
      <c r="DL77" s="18"/>
      <c r="DM77" s="18"/>
      <c r="DN77" s="18"/>
      <c r="DO77" s="18"/>
      <c r="DP77" s="18"/>
      <c r="DQ77" s="18"/>
      <c r="DR77" s="18"/>
      <c r="DS77" s="18"/>
      <c r="DT77" s="123"/>
      <c r="DU77" s="123"/>
      <c r="DV77" s="123"/>
      <c r="DW77" s="123"/>
      <c r="DX77" s="123"/>
      <c r="DY77" s="123"/>
      <c r="DZ77" s="18"/>
      <c r="EA77" s="18"/>
      <c r="EB77" s="18"/>
      <c r="EC77" s="18"/>
      <c r="ED77" s="18"/>
      <c r="EE77" s="18"/>
      <c r="EF77" s="18"/>
      <c r="EG77" s="18"/>
      <c r="EH77" s="18"/>
      <c r="EI77" s="18"/>
      <c r="EJ77" s="18"/>
      <c r="EK77" s="18"/>
      <c r="EL77" s="18"/>
      <c r="EM77" s="18"/>
      <c r="EN77" s="18"/>
      <c r="EO77" s="18"/>
      <c r="EP77" s="18"/>
      <c r="EQ77" s="18"/>
      <c r="ER77" s="18"/>
      <c r="ES77" s="18"/>
      <c r="ET77" s="18"/>
      <c r="EU77" s="18"/>
      <c r="EV77" s="18"/>
      <c r="EW77" s="18"/>
      <c r="EX77" s="18"/>
      <c r="EY77" s="18"/>
      <c r="EZ77" s="18"/>
      <c r="FA77" s="18"/>
      <c r="FB77" s="18"/>
      <c r="FC77" s="18"/>
      <c r="FD77" s="18"/>
      <c r="FE77" s="18"/>
      <c r="FF77" s="18"/>
      <c r="FG77" s="18"/>
      <c r="FH77" s="18"/>
      <c r="FI77" s="18"/>
      <c r="FJ77" s="18"/>
      <c r="FK77" s="18"/>
      <c r="FL77" s="18"/>
      <c r="FM77" s="18"/>
      <c r="FN77" s="18"/>
      <c r="FO77" s="18"/>
    </row>
    <row r="78" ht="15.75" customHeight="1">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c r="AA78" s="21"/>
      <c r="AB78" s="21"/>
      <c r="AC78" s="21"/>
      <c r="AD78" s="21"/>
      <c r="AE78" s="21"/>
      <c r="AF78" s="21"/>
      <c r="AG78" s="21"/>
      <c r="AH78" s="21"/>
      <c r="AI78" s="21"/>
      <c r="AJ78" s="21"/>
      <c r="AK78" s="21"/>
      <c r="AL78" s="21"/>
      <c r="AM78" s="21"/>
      <c r="AN78" s="21"/>
      <c r="AO78" s="21"/>
      <c r="AP78" s="21"/>
      <c r="AQ78" s="21"/>
      <c r="AR78" s="21"/>
      <c r="AS78" s="21"/>
      <c r="AT78" s="21"/>
      <c r="AU78" s="21"/>
      <c r="AV78" s="21"/>
      <c r="AW78" s="21"/>
      <c r="AX78" s="21"/>
      <c r="AY78" s="21"/>
      <c r="AZ78" s="21"/>
      <c r="BA78" s="21"/>
      <c r="BB78" s="21"/>
      <c r="BC78" s="21"/>
      <c r="BD78" s="21"/>
      <c r="BE78" s="21"/>
      <c r="BF78" s="21"/>
      <c r="BG78" s="21"/>
      <c r="BH78" s="21"/>
      <c r="BI78" s="21"/>
      <c r="BJ78" s="21"/>
      <c r="BK78" s="21"/>
      <c r="BL78" s="21"/>
      <c r="BM78" s="21"/>
      <c r="BN78" s="21"/>
      <c r="BO78" s="21"/>
      <c r="BP78" s="21"/>
      <c r="BQ78" s="21"/>
      <c r="BR78" s="21"/>
      <c r="BS78" s="21"/>
      <c r="BT78" s="21"/>
      <c r="BU78" s="21"/>
      <c r="BV78" s="21"/>
      <c r="BW78" s="21"/>
      <c r="BX78" s="21"/>
      <c r="BY78" s="21"/>
      <c r="BZ78" s="21"/>
      <c r="CA78" s="21"/>
      <c r="CB78" s="21"/>
      <c r="CC78" s="21"/>
      <c r="CD78" s="21"/>
      <c r="CE78" s="21"/>
      <c r="CF78" s="21"/>
      <c r="CG78" s="21"/>
      <c r="CH78" s="21"/>
      <c r="CI78" s="21"/>
      <c r="CJ78" s="21"/>
      <c r="CK78" s="21"/>
      <c r="CL78" s="21"/>
      <c r="CM78" s="21"/>
      <c r="CN78" s="21"/>
      <c r="CO78" s="21"/>
      <c r="CP78" s="21"/>
      <c r="CQ78" s="21"/>
      <c r="CR78" s="21"/>
      <c r="CS78" s="21"/>
      <c r="CT78" s="21"/>
      <c r="CU78" s="21"/>
      <c r="CV78" s="21"/>
      <c r="CW78" s="21"/>
      <c r="CX78" s="21"/>
      <c r="CY78" s="21"/>
      <c r="CZ78" s="21"/>
      <c r="DA78" s="21"/>
      <c r="DB78" s="21"/>
      <c r="DC78" s="21"/>
      <c r="DD78" s="21"/>
      <c r="DE78" s="21"/>
      <c r="DF78" s="18"/>
      <c r="DG78" s="18"/>
      <c r="DH78" s="18"/>
      <c r="DI78" s="18"/>
      <c r="DJ78" s="18"/>
      <c r="DK78" s="18"/>
      <c r="DL78" s="18"/>
      <c r="DM78" s="18"/>
      <c r="DN78" s="18"/>
      <c r="DO78" s="18"/>
      <c r="DP78" s="18"/>
      <c r="DQ78" s="18"/>
      <c r="DR78" s="18"/>
      <c r="DS78" s="18"/>
      <c r="DT78" s="18"/>
      <c r="DU78" s="18"/>
      <c r="DV78" s="18"/>
      <c r="DW78" s="18"/>
      <c r="DX78" s="123"/>
      <c r="DY78" s="123"/>
      <c r="DZ78" s="18"/>
      <c r="EA78" s="18"/>
      <c r="EB78" s="18"/>
      <c r="EC78" s="18"/>
      <c r="ED78" s="18"/>
      <c r="EE78" s="18"/>
      <c r="EF78" s="18"/>
      <c r="EG78" s="18"/>
      <c r="EH78" s="18"/>
      <c r="EI78" s="18"/>
      <c r="EJ78" s="18"/>
      <c r="EK78" s="18"/>
      <c r="EL78" s="18"/>
      <c r="EM78" s="18"/>
      <c r="EN78" s="18"/>
      <c r="EO78" s="18"/>
      <c r="EP78" s="18"/>
      <c r="EQ78" s="18"/>
      <c r="ER78" s="18"/>
      <c r="ES78" s="18"/>
      <c r="ET78" s="18"/>
      <c r="EU78" s="18"/>
      <c r="EV78" s="18"/>
      <c r="EW78" s="18"/>
      <c r="EX78" s="18"/>
      <c r="EY78" s="18"/>
      <c r="EZ78" s="18"/>
      <c r="FA78" s="18"/>
      <c r="FB78" s="18"/>
      <c r="FC78" s="18"/>
      <c r="FD78" s="18"/>
      <c r="FE78" s="18"/>
      <c r="FF78" s="18"/>
      <c r="FG78" s="18"/>
      <c r="FH78" s="18"/>
      <c r="FI78" s="18"/>
      <c r="FJ78" s="18"/>
      <c r="FK78" s="18"/>
      <c r="FL78" s="18"/>
      <c r="FM78" s="18"/>
      <c r="FN78" s="18"/>
      <c r="FO78" s="18"/>
    </row>
    <row r="79" ht="15.75" customHeight="1">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c r="AA79" s="21"/>
      <c r="AB79" s="21"/>
      <c r="AC79" s="21"/>
      <c r="AD79" s="21"/>
      <c r="AE79" s="21"/>
      <c r="AF79" s="21"/>
      <c r="AG79" s="21"/>
      <c r="AH79" s="21"/>
      <c r="AI79" s="21"/>
      <c r="AJ79" s="21"/>
      <c r="AK79" s="21"/>
      <c r="AL79" s="21"/>
      <c r="AM79" s="21"/>
      <c r="AN79" s="21"/>
      <c r="AO79" s="21"/>
      <c r="AP79" s="21"/>
      <c r="AQ79" s="21"/>
      <c r="AR79" s="21"/>
      <c r="AS79" s="21"/>
      <c r="AT79" s="21"/>
      <c r="AU79" s="21"/>
      <c r="AV79" s="21"/>
      <c r="AW79" s="21"/>
      <c r="AX79" s="21"/>
      <c r="AY79" s="21"/>
      <c r="AZ79" s="21"/>
      <c r="BA79" s="21"/>
      <c r="BB79" s="21"/>
      <c r="BC79" s="21"/>
      <c r="BD79" s="21"/>
      <c r="BE79" s="21"/>
      <c r="BF79" s="21"/>
      <c r="BG79" s="21"/>
      <c r="BH79" s="21"/>
      <c r="BI79" s="21"/>
      <c r="BJ79" s="21"/>
      <c r="BK79" s="21"/>
      <c r="BL79" s="21"/>
      <c r="BM79" s="21"/>
      <c r="BN79" s="21"/>
      <c r="BO79" s="21"/>
      <c r="BP79" s="21"/>
      <c r="BQ79" s="21"/>
      <c r="BR79" s="21"/>
      <c r="BS79" s="21"/>
      <c r="BT79" s="21"/>
      <c r="BU79" s="21"/>
      <c r="BV79" s="21"/>
      <c r="BW79" s="21"/>
      <c r="BX79" s="21"/>
      <c r="BY79" s="21"/>
      <c r="BZ79" s="21"/>
      <c r="CA79" s="21"/>
      <c r="CB79" s="21"/>
      <c r="CC79" s="21"/>
      <c r="CD79" s="21"/>
      <c r="CE79" s="21"/>
      <c r="CF79" s="21"/>
      <c r="CG79" s="21"/>
      <c r="CH79" s="21"/>
      <c r="CI79" s="21"/>
      <c r="CJ79" s="21"/>
      <c r="CK79" s="21"/>
      <c r="CL79" s="21"/>
      <c r="CM79" s="21"/>
      <c r="CN79" s="21"/>
      <c r="CO79" s="21"/>
      <c r="CP79" s="21"/>
      <c r="CQ79" s="21"/>
      <c r="CR79" s="21"/>
      <c r="CS79" s="21"/>
      <c r="CT79" s="21"/>
      <c r="CU79" s="21"/>
      <c r="CV79" s="21"/>
      <c r="CW79" s="21"/>
      <c r="CX79" s="21"/>
      <c r="CY79" s="21"/>
      <c r="CZ79" s="21"/>
      <c r="DA79" s="21"/>
      <c r="DB79" s="21"/>
      <c r="DC79" s="21"/>
      <c r="DD79" s="21"/>
      <c r="DE79" s="21"/>
      <c r="DF79" s="18"/>
      <c r="DG79" s="18"/>
      <c r="DH79" s="18"/>
      <c r="DI79" s="18"/>
      <c r="DJ79" s="18"/>
      <c r="DK79" s="18"/>
      <c r="DL79" s="18"/>
      <c r="DM79" s="18"/>
      <c r="DN79" s="18"/>
      <c r="DO79" s="18"/>
      <c r="DP79" s="18"/>
      <c r="DQ79" s="18"/>
      <c r="DR79" s="18"/>
      <c r="DS79" s="18"/>
      <c r="DT79" s="18"/>
      <c r="DU79" s="18"/>
      <c r="DV79" s="18"/>
      <c r="DW79" s="18"/>
      <c r="DX79" s="18"/>
      <c r="DY79" s="18"/>
      <c r="DZ79" s="18"/>
      <c r="EA79" s="18"/>
      <c r="EB79" s="18"/>
      <c r="EC79" s="18"/>
      <c r="ED79" s="18"/>
      <c r="EE79" s="18"/>
      <c r="EF79" s="18"/>
      <c r="EG79" s="18"/>
      <c r="EH79" s="18"/>
      <c r="EI79" s="18"/>
      <c r="EJ79" s="18"/>
      <c r="EK79" s="18"/>
      <c r="EL79" s="18"/>
      <c r="EM79" s="18"/>
      <c r="EN79" s="18"/>
      <c r="EO79" s="18"/>
      <c r="EP79" s="18"/>
      <c r="EQ79" s="18"/>
      <c r="ER79" s="18"/>
      <c r="ES79" s="18"/>
      <c r="ET79" s="18"/>
      <c r="EU79" s="18"/>
      <c r="EV79" s="18"/>
      <c r="EW79" s="18"/>
      <c r="EX79" s="18"/>
      <c r="EY79" s="18"/>
      <c r="EZ79" s="18"/>
      <c r="FA79" s="18"/>
      <c r="FB79" s="18"/>
      <c r="FC79" s="18"/>
      <c r="FD79" s="18"/>
      <c r="FE79" s="18"/>
      <c r="FF79" s="18"/>
      <c r="FG79" s="18"/>
      <c r="FH79" s="18"/>
      <c r="FI79" s="18"/>
      <c r="FJ79" s="18"/>
      <c r="FK79" s="18"/>
      <c r="FL79" s="18"/>
      <c r="FM79" s="18"/>
      <c r="FN79" s="18"/>
      <c r="FO79" s="18"/>
    </row>
    <row r="80" ht="15.75" customHeight="1">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c r="AA80" s="21"/>
      <c r="AB80" s="21"/>
      <c r="AC80" s="21"/>
      <c r="AD80" s="21"/>
      <c r="AE80" s="21"/>
      <c r="AF80" s="21"/>
      <c r="AG80" s="21"/>
      <c r="AH80" s="21"/>
      <c r="AI80" s="21"/>
      <c r="AJ80" s="21"/>
      <c r="AK80" s="21"/>
      <c r="AL80" s="21"/>
      <c r="AM80" s="21"/>
      <c r="AN80" s="21"/>
      <c r="AO80" s="21"/>
      <c r="AP80" s="21"/>
      <c r="AQ80" s="21"/>
      <c r="AR80" s="21"/>
      <c r="AS80" s="21"/>
      <c r="AT80" s="21"/>
      <c r="AU80" s="21"/>
      <c r="AV80" s="21"/>
      <c r="AW80" s="21"/>
      <c r="AX80" s="21"/>
      <c r="AY80" s="21"/>
      <c r="AZ80" s="21"/>
      <c r="BA80" s="21"/>
      <c r="BB80" s="21"/>
      <c r="BC80" s="21"/>
      <c r="BD80" s="21"/>
      <c r="BE80" s="21"/>
      <c r="BF80" s="21"/>
      <c r="BG80" s="21"/>
      <c r="BH80" s="21"/>
      <c r="BI80" s="21"/>
      <c r="BJ80" s="21"/>
      <c r="BK80" s="21"/>
      <c r="BL80" s="21"/>
      <c r="BM80" s="21"/>
      <c r="BN80" s="21"/>
      <c r="BO80" s="21"/>
      <c r="BP80" s="21"/>
      <c r="BQ80" s="21"/>
      <c r="BR80" s="21"/>
      <c r="BS80" s="21"/>
      <c r="BT80" s="21"/>
      <c r="BU80" s="21"/>
      <c r="BV80" s="21"/>
      <c r="BW80" s="21"/>
      <c r="BX80" s="21"/>
      <c r="BY80" s="21"/>
      <c r="BZ80" s="21"/>
      <c r="CA80" s="21"/>
      <c r="CB80" s="21"/>
      <c r="CC80" s="21"/>
      <c r="CD80" s="21"/>
      <c r="CE80" s="21"/>
      <c r="CF80" s="21"/>
      <c r="CG80" s="21"/>
      <c r="CH80" s="21"/>
      <c r="CI80" s="21"/>
      <c r="CJ80" s="21"/>
      <c r="CK80" s="21"/>
      <c r="CL80" s="21"/>
      <c r="CM80" s="21"/>
      <c r="CN80" s="21"/>
      <c r="CO80" s="21"/>
      <c r="CP80" s="21"/>
      <c r="CQ80" s="21"/>
      <c r="CR80" s="21"/>
      <c r="CS80" s="21"/>
      <c r="CT80" s="21"/>
      <c r="CU80" s="21"/>
      <c r="CV80" s="21"/>
      <c r="CW80" s="21"/>
      <c r="CX80" s="21"/>
      <c r="CY80" s="21"/>
      <c r="CZ80" s="21"/>
      <c r="DA80" s="21"/>
      <c r="DB80" s="21"/>
      <c r="DC80" s="21"/>
      <c r="DD80" s="21"/>
      <c r="DE80" s="21"/>
      <c r="DF80" s="18"/>
      <c r="DG80" s="18"/>
      <c r="DH80" s="18"/>
      <c r="DI80" s="18"/>
      <c r="DJ80" s="18"/>
      <c r="DK80" s="18"/>
      <c r="DL80" s="18"/>
      <c r="DM80" s="18"/>
      <c r="DN80" s="18"/>
      <c r="DO80" s="18"/>
      <c r="DP80" s="18"/>
      <c r="DQ80" s="18"/>
      <c r="DR80" s="18"/>
      <c r="DS80" s="18"/>
      <c r="DT80" s="18"/>
      <c r="DU80" s="18"/>
      <c r="DV80" s="18"/>
      <c r="DW80" s="18"/>
      <c r="DX80" s="18"/>
      <c r="DY80" s="18"/>
      <c r="DZ80" s="18"/>
      <c r="EA80" s="18"/>
      <c r="EB80" s="18"/>
      <c r="EC80" s="18"/>
      <c r="ED80" s="18"/>
      <c r="EE80" s="18"/>
      <c r="EF80" s="18"/>
      <c r="EG80" s="18"/>
      <c r="EH80" s="18"/>
      <c r="EI80" s="18"/>
      <c r="EJ80" s="18"/>
      <c r="EK80" s="18"/>
      <c r="EL80" s="18"/>
      <c r="EM80" s="18"/>
      <c r="EN80" s="18"/>
      <c r="EO80" s="18"/>
      <c r="EP80" s="18"/>
      <c r="EQ80" s="18"/>
      <c r="ER80" s="18"/>
      <c r="ES80" s="18"/>
      <c r="ET80" s="18"/>
      <c r="EU80" s="18"/>
      <c r="EV80" s="18"/>
      <c r="EW80" s="18"/>
      <c r="EX80" s="18"/>
      <c r="EY80" s="18"/>
      <c r="EZ80" s="18"/>
      <c r="FA80" s="18"/>
      <c r="FB80" s="18"/>
      <c r="FC80" s="18"/>
      <c r="FD80" s="18"/>
      <c r="FE80" s="18"/>
      <c r="FF80" s="18"/>
      <c r="FG80" s="18"/>
      <c r="FH80" s="18"/>
      <c r="FI80" s="18"/>
      <c r="FJ80" s="18"/>
      <c r="FK80" s="18"/>
      <c r="FL80" s="18"/>
      <c r="FM80" s="18"/>
      <c r="FN80" s="18"/>
      <c r="FO80" s="18"/>
    </row>
    <row r="81" ht="15.75" customHeight="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c r="AA81" s="21"/>
      <c r="AB81" s="21"/>
      <c r="AC81" s="21"/>
      <c r="AD81" s="21"/>
      <c r="AE81" s="21"/>
      <c r="AF81" s="21"/>
      <c r="AG81" s="21"/>
      <c r="AH81" s="21"/>
      <c r="AI81" s="21"/>
      <c r="AJ81" s="21"/>
      <c r="AK81" s="21"/>
      <c r="AL81" s="21"/>
      <c r="AM81" s="21"/>
      <c r="AN81" s="21"/>
      <c r="AO81" s="21"/>
      <c r="AP81" s="21"/>
      <c r="AQ81" s="21"/>
      <c r="AR81" s="21"/>
      <c r="AS81" s="21"/>
      <c r="AT81" s="21"/>
      <c r="AU81" s="21"/>
      <c r="AV81" s="21"/>
      <c r="AW81" s="21"/>
      <c r="AX81" s="21"/>
      <c r="AY81" s="21"/>
      <c r="AZ81" s="21"/>
      <c r="BA81" s="21"/>
      <c r="BB81" s="21"/>
      <c r="BC81" s="21"/>
      <c r="BD81" s="21"/>
      <c r="BE81" s="21"/>
      <c r="BF81" s="21"/>
      <c r="BG81" s="21"/>
      <c r="BH81" s="21"/>
      <c r="BI81" s="21"/>
      <c r="BJ81" s="21"/>
      <c r="BK81" s="21"/>
      <c r="BL81" s="21"/>
      <c r="BM81" s="21"/>
      <c r="BN81" s="21"/>
      <c r="BO81" s="21"/>
      <c r="BP81" s="21"/>
      <c r="BQ81" s="21"/>
      <c r="BR81" s="21"/>
      <c r="BS81" s="21"/>
      <c r="BT81" s="21"/>
      <c r="BU81" s="21"/>
      <c r="BV81" s="21"/>
      <c r="BW81" s="21"/>
      <c r="BX81" s="21"/>
      <c r="BY81" s="21"/>
      <c r="BZ81" s="21"/>
      <c r="CA81" s="21"/>
      <c r="CB81" s="21"/>
      <c r="CC81" s="21"/>
      <c r="CD81" s="21"/>
      <c r="CE81" s="21"/>
      <c r="CF81" s="21"/>
      <c r="CG81" s="21"/>
      <c r="CH81" s="21"/>
      <c r="CI81" s="21"/>
      <c r="CJ81" s="21"/>
      <c r="CK81" s="21"/>
      <c r="CL81" s="21"/>
      <c r="CM81" s="21"/>
      <c r="CN81" s="21"/>
      <c r="CO81" s="21"/>
      <c r="CP81" s="21"/>
      <c r="CQ81" s="21"/>
      <c r="CR81" s="21"/>
      <c r="CS81" s="21"/>
      <c r="CT81" s="21"/>
      <c r="CU81" s="21"/>
      <c r="CV81" s="21"/>
      <c r="CW81" s="21"/>
      <c r="CX81" s="21"/>
      <c r="CY81" s="21"/>
      <c r="CZ81" s="21"/>
      <c r="DA81" s="21"/>
      <c r="DB81" s="21"/>
      <c r="DC81" s="21"/>
      <c r="DD81" s="21"/>
      <c r="DE81" s="21"/>
      <c r="DF81" s="18"/>
      <c r="DG81" s="18"/>
      <c r="DH81" s="18"/>
      <c r="DI81" s="18"/>
      <c r="DJ81" s="18"/>
      <c r="DK81" s="18"/>
      <c r="DL81" s="18"/>
      <c r="DM81" s="18"/>
      <c r="DN81" s="18"/>
      <c r="DO81" s="18"/>
      <c r="DP81" s="18"/>
      <c r="DQ81" s="18"/>
      <c r="DR81" s="18"/>
      <c r="DS81" s="18"/>
      <c r="DT81" s="18"/>
      <c r="DU81" s="18"/>
      <c r="DV81" s="18"/>
      <c r="DW81" s="18"/>
      <c r="DX81" s="18"/>
      <c r="DY81" s="18"/>
      <c r="DZ81" s="18"/>
      <c r="EA81" s="18"/>
      <c r="EB81" s="18"/>
      <c r="EC81" s="18"/>
      <c r="ED81" s="18"/>
      <c r="EE81" s="18"/>
      <c r="EF81" s="18"/>
      <c r="EG81" s="18"/>
      <c r="EH81" s="18"/>
      <c r="EI81" s="18"/>
      <c r="EJ81" s="18"/>
      <c r="EK81" s="18"/>
      <c r="EL81" s="18"/>
      <c r="EM81" s="18"/>
      <c r="EN81" s="18"/>
      <c r="EO81" s="18"/>
      <c r="EP81" s="18"/>
      <c r="EQ81" s="18"/>
      <c r="ER81" s="18"/>
      <c r="ES81" s="18"/>
      <c r="ET81" s="18"/>
      <c r="EU81" s="18"/>
      <c r="EV81" s="18"/>
      <c r="EW81" s="18"/>
      <c r="EX81" s="18"/>
      <c r="EY81" s="18"/>
      <c r="EZ81" s="18"/>
      <c r="FA81" s="18"/>
      <c r="FB81" s="18"/>
      <c r="FC81" s="18"/>
      <c r="FD81" s="18"/>
      <c r="FE81" s="18"/>
      <c r="FF81" s="18"/>
      <c r="FG81" s="18"/>
      <c r="FH81" s="18"/>
      <c r="FI81" s="18"/>
      <c r="FJ81" s="18"/>
      <c r="FK81" s="18"/>
      <c r="FL81" s="18"/>
      <c r="FM81" s="18"/>
      <c r="FN81" s="18"/>
      <c r="FO81" s="18"/>
    </row>
    <row r="82" ht="15.75" customHeight="1">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c r="AA82" s="21"/>
      <c r="AB82" s="21"/>
      <c r="AC82" s="21"/>
      <c r="AD82" s="21"/>
      <c r="AE82" s="21"/>
      <c r="AF82" s="21"/>
      <c r="AG82" s="21"/>
      <c r="AH82" s="21"/>
      <c r="AI82" s="21"/>
      <c r="AJ82" s="21"/>
      <c r="AK82" s="21"/>
      <c r="AL82" s="21"/>
      <c r="AM82" s="21"/>
      <c r="AN82" s="21"/>
      <c r="AO82" s="21"/>
      <c r="AP82" s="21"/>
      <c r="AQ82" s="21"/>
      <c r="AR82" s="21"/>
      <c r="AS82" s="21"/>
      <c r="AT82" s="21"/>
      <c r="AU82" s="21"/>
      <c r="AV82" s="21"/>
      <c r="AW82" s="21"/>
      <c r="AX82" s="21"/>
      <c r="AY82" s="21"/>
      <c r="AZ82" s="21"/>
      <c r="BA82" s="21"/>
      <c r="BB82" s="21"/>
      <c r="BC82" s="21"/>
      <c r="BD82" s="21"/>
      <c r="BE82" s="21"/>
      <c r="BF82" s="21"/>
      <c r="BG82" s="21"/>
      <c r="BH82" s="21"/>
      <c r="BI82" s="21"/>
      <c r="BJ82" s="21"/>
      <c r="BK82" s="21"/>
      <c r="BL82" s="21"/>
      <c r="BM82" s="21"/>
      <c r="BN82" s="21"/>
      <c r="BO82" s="21"/>
      <c r="BP82" s="21"/>
      <c r="BQ82" s="21"/>
      <c r="BR82" s="21"/>
      <c r="BS82" s="21"/>
      <c r="BT82" s="21"/>
      <c r="BU82" s="21"/>
      <c r="BV82" s="21"/>
      <c r="BW82" s="21"/>
      <c r="BX82" s="21"/>
      <c r="BY82" s="21"/>
      <c r="BZ82" s="21"/>
      <c r="CA82" s="21"/>
      <c r="CB82" s="21"/>
      <c r="CC82" s="21"/>
      <c r="CD82" s="21"/>
      <c r="CE82" s="21"/>
      <c r="CF82" s="21"/>
      <c r="CG82" s="21"/>
      <c r="CH82" s="21"/>
      <c r="CI82" s="21"/>
      <c r="CJ82" s="21"/>
      <c r="CK82" s="21"/>
      <c r="CL82" s="21"/>
      <c r="CM82" s="21"/>
      <c r="CN82" s="21"/>
      <c r="CO82" s="21"/>
      <c r="CP82" s="21"/>
      <c r="CQ82" s="21"/>
      <c r="CR82" s="21"/>
      <c r="CS82" s="21"/>
      <c r="CT82" s="21"/>
      <c r="CU82" s="21"/>
      <c r="CV82" s="21"/>
      <c r="CW82" s="21"/>
      <c r="CX82" s="21"/>
      <c r="CY82" s="21"/>
      <c r="CZ82" s="21"/>
      <c r="DA82" s="21"/>
      <c r="DB82" s="21"/>
      <c r="DC82" s="21"/>
      <c r="DD82" s="21"/>
      <c r="DE82" s="21"/>
      <c r="DF82" s="18"/>
      <c r="DG82" s="18"/>
      <c r="DH82" s="18"/>
      <c r="DI82" s="18"/>
      <c r="DJ82" s="18"/>
      <c r="DK82" s="18"/>
      <c r="DL82" s="18"/>
      <c r="DM82" s="18"/>
      <c r="DN82" s="18"/>
      <c r="DO82" s="18"/>
      <c r="DP82" s="18"/>
      <c r="DQ82" s="18"/>
      <c r="DR82" s="18"/>
      <c r="DS82" s="18"/>
      <c r="DT82" s="18"/>
      <c r="DU82" s="18"/>
      <c r="DV82" s="18"/>
      <c r="DW82" s="18"/>
      <c r="DX82" s="18"/>
      <c r="DY82" s="18"/>
      <c r="DZ82" s="18"/>
      <c r="EA82" s="18"/>
      <c r="EB82" s="18"/>
      <c r="EC82" s="18"/>
      <c r="ED82" s="18"/>
      <c r="EE82" s="18"/>
      <c r="EF82" s="18"/>
      <c r="EG82" s="18"/>
      <c r="EH82" s="18"/>
      <c r="EI82" s="18"/>
      <c r="EJ82" s="18"/>
      <c r="EK82" s="18"/>
      <c r="EL82" s="18"/>
      <c r="EM82" s="18"/>
      <c r="EN82" s="18"/>
      <c r="EO82" s="18"/>
      <c r="EP82" s="18"/>
      <c r="EQ82" s="18"/>
      <c r="ER82" s="18"/>
      <c r="ES82" s="18"/>
      <c r="ET82" s="18"/>
      <c r="EU82" s="18"/>
      <c r="EV82" s="18"/>
      <c r="EW82" s="18"/>
      <c r="EX82" s="18"/>
      <c r="EY82" s="18"/>
      <c r="EZ82" s="18"/>
      <c r="FA82" s="18"/>
      <c r="FB82" s="18"/>
      <c r="FC82" s="18"/>
      <c r="FD82" s="18"/>
      <c r="FE82" s="18"/>
      <c r="FF82" s="18"/>
      <c r="FG82" s="18"/>
      <c r="FH82" s="18"/>
      <c r="FI82" s="18"/>
      <c r="FJ82" s="18"/>
      <c r="FK82" s="18"/>
      <c r="FL82" s="18"/>
      <c r="FM82" s="18"/>
      <c r="FN82" s="18"/>
      <c r="FO82" s="18"/>
    </row>
    <row r="83" ht="15.75" customHeight="1">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c r="AA83" s="21"/>
      <c r="AB83" s="21"/>
      <c r="AC83" s="21"/>
      <c r="AD83" s="21"/>
      <c r="AE83" s="21"/>
      <c r="AF83" s="21"/>
      <c r="AG83" s="21"/>
      <c r="AH83" s="21"/>
      <c r="AI83" s="21"/>
      <c r="AJ83" s="21"/>
      <c r="AK83" s="21"/>
      <c r="AL83" s="21"/>
      <c r="AM83" s="21"/>
      <c r="AN83" s="21"/>
      <c r="AO83" s="21"/>
      <c r="AP83" s="21"/>
      <c r="AQ83" s="21"/>
      <c r="AR83" s="21"/>
      <c r="AS83" s="21"/>
      <c r="AT83" s="21"/>
      <c r="AU83" s="21"/>
      <c r="AV83" s="21"/>
      <c r="AW83" s="21"/>
      <c r="AX83" s="21"/>
      <c r="AY83" s="21"/>
      <c r="AZ83" s="21"/>
      <c r="BA83" s="21"/>
      <c r="BB83" s="21"/>
      <c r="BC83" s="21"/>
      <c r="BD83" s="21"/>
      <c r="BE83" s="21"/>
      <c r="BF83" s="21"/>
      <c r="BG83" s="21"/>
      <c r="BH83" s="21"/>
      <c r="BI83" s="21"/>
      <c r="BJ83" s="21"/>
      <c r="BK83" s="21"/>
      <c r="BL83" s="21"/>
      <c r="BM83" s="21"/>
      <c r="BN83" s="21"/>
      <c r="BO83" s="21"/>
      <c r="BP83" s="21"/>
      <c r="BQ83" s="21"/>
      <c r="BR83" s="21"/>
      <c r="BS83" s="21"/>
      <c r="BT83" s="21"/>
      <c r="BU83" s="21"/>
      <c r="BV83" s="21"/>
      <c r="BW83" s="21"/>
      <c r="BX83" s="21"/>
      <c r="BY83" s="21"/>
      <c r="BZ83" s="21"/>
      <c r="CA83" s="21"/>
      <c r="CB83" s="21"/>
      <c r="CC83" s="21"/>
      <c r="CD83" s="21"/>
      <c r="CE83" s="21"/>
      <c r="CF83" s="21"/>
      <c r="CG83" s="21"/>
      <c r="CH83" s="21"/>
      <c r="CI83" s="21"/>
      <c r="CJ83" s="21"/>
      <c r="CK83" s="21"/>
      <c r="CL83" s="21"/>
      <c r="CM83" s="21"/>
      <c r="CN83" s="21"/>
      <c r="CO83" s="21"/>
      <c r="CP83" s="21"/>
      <c r="CQ83" s="21"/>
      <c r="CR83" s="21"/>
      <c r="CS83" s="21"/>
      <c r="CT83" s="21"/>
      <c r="CU83" s="21"/>
      <c r="CV83" s="21"/>
      <c r="CW83" s="21"/>
      <c r="CX83" s="21"/>
      <c r="CY83" s="21"/>
      <c r="CZ83" s="21"/>
      <c r="DA83" s="21"/>
      <c r="DB83" s="21"/>
      <c r="DC83" s="21"/>
      <c r="DD83" s="21"/>
      <c r="DE83" s="21"/>
      <c r="DF83" s="18"/>
      <c r="DG83" s="18"/>
      <c r="DH83" s="18"/>
      <c r="DI83" s="18"/>
      <c r="DJ83" s="18"/>
      <c r="DK83" s="18"/>
      <c r="DL83" s="18"/>
      <c r="DM83" s="18"/>
      <c r="DN83" s="18"/>
      <c r="DO83" s="18"/>
      <c r="DP83" s="18"/>
      <c r="DQ83" s="18"/>
      <c r="DR83" s="18"/>
      <c r="DS83" s="18"/>
      <c r="DT83" s="18"/>
      <c r="DU83" s="18"/>
      <c r="DV83" s="18"/>
      <c r="DW83" s="18"/>
      <c r="DX83" s="18"/>
      <c r="DY83" s="18"/>
      <c r="DZ83" s="18"/>
      <c r="EA83" s="18"/>
      <c r="EB83" s="18"/>
      <c r="EC83" s="18"/>
      <c r="ED83" s="18"/>
      <c r="EE83" s="18"/>
      <c r="EF83" s="18"/>
      <c r="EG83" s="18"/>
      <c r="EH83" s="18"/>
      <c r="EI83" s="18"/>
      <c r="EJ83" s="18"/>
      <c r="EK83" s="18"/>
      <c r="EL83" s="18"/>
      <c r="EM83" s="18"/>
      <c r="EN83" s="18"/>
      <c r="EO83" s="18"/>
      <c r="EP83" s="18"/>
      <c r="EQ83" s="18"/>
      <c r="ER83" s="18"/>
      <c r="ES83" s="18"/>
      <c r="ET83" s="18"/>
      <c r="EU83" s="18"/>
      <c r="EV83" s="18"/>
      <c r="EW83" s="18"/>
      <c r="EX83" s="18"/>
      <c r="EY83" s="18"/>
      <c r="EZ83" s="18"/>
      <c r="FA83" s="18"/>
      <c r="FB83" s="18"/>
      <c r="FC83" s="18"/>
      <c r="FD83" s="18"/>
      <c r="FE83" s="18"/>
      <c r="FF83" s="18"/>
      <c r="FG83" s="18"/>
      <c r="FH83" s="18"/>
      <c r="FI83" s="18"/>
      <c r="FJ83" s="18"/>
      <c r="FK83" s="18"/>
      <c r="FL83" s="18"/>
      <c r="FM83" s="18"/>
      <c r="FN83" s="18"/>
      <c r="FO83" s="18"/>
    </row>
    <row r="84" ht="15.75" customHeight="1">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c r="AA84" s="21"/>
      <c r="AB84" s="21"/>
      <c r="AC84" s="21"/>
      <c r="AD84" s="21"/>
      <c r="AE84" s="21"/>
      <c r="AF84" s="21"/>
      <c r="AG84" s="21"/>
      <c r="AH84" s="21"/>
      <c r="AI84" s="21"/>
      <c r="AJ84" s="21"/>
      <c r="AK84" s="21"/>
      <c r="AL84" s="21"/>
      <c r="AM84" s="21"/>
      <c r="AN84" s="21"/>
      <c r="AO84" s="21"/>
      <c r="AP84" s="21"/>
      <c r="AQ84" s="21"/>
      <c r="AR84" s="21"/>
      <c r="AS84" s="21"/>
      <c r="AT84" s="21"/>
      <c r="AU84" s="21"/>
      <c r="AV84" s="21"/>
      <c r="AW84" s="21"/>
      <c r="AX84" s="21"/>
      <c r="AY84" s="21"/>
      <c r="AZ84" s="21"/>
      <c r="BA84" s="21"/>
      <c r="BB84" s="21"/>
      <c r="BC84" s="21"/>
      <c r="BD84" s="21"/>
      <c r="BE84" s="21"/>
      <c r="BF84" s="21"/>
      <c r="BG84" s="21"/>
      <c r="BH84" s="21"/>
      <c r="BI84" s="21"/>
      <c r="BJ84" s="21"/>
      <c r="BK84" s="21"/>
      <c r="BL84" s="21"/>
      <c r="BM84" s="21"/>
      <c r="BN84" s="21"/>
      <c r="BO84" s="21"/>
      <c r="BP84" s="21"/>
      <c r="BQ84" s="21"/>
      <c r="BR84" s="21"/>
      <c r="BS84" s="21"/>
      <c r="BT84" s="21"/>
      <c r="BU84" s="21"/>
      <c r="BV84" s="21"/>
      <c r="BW84" s="21"/>
      <c r="BX84" s="21"/>
      <c r="BY84" s="21"/>
      <c r="BZ84" s="21"/>
      <c r="CA84" s="21"/>
      <c r="CB84" s="21"/>
      <c r="CC84" s="21"/>
      <c r="CD84" s="21"/>
      <c r="CE84" s="21"/>
      <c r="CF84" s="21"/>
      <c r="CG84" s="21"/>
      <c r="CH84" s="21"/>
      <c r="CI84" s="21"/>
      <c r="CJ84" s="21"/>
      <c r="CK84" s="21"/>
      <c r="CL84" s="21"/>
      <c r="CM84" s="21"/>
      <c r="CN84" s="21"/>
      <c r="CO84" s="21"/>
      <c r="CP84" s="21"/>
      <c r="CQ84" s="21"/>
      <c r="CR84" s="21"/>
      <c r="CS84" s="21"/>
      <c r="CT84" s="21"/>
      <c r="CU84" s="21"/>
      <c r="CV84" s="21"/>
      <c r="CW84" s="21"/>
      <c r="CX84" s="21"/>
      <c r="CY84" s="21"/>
      <c r="CZ84" s="21"/>
      <c r="DA84" s="21"/>
      <c r="DB84" s="21"/>
      <c r="DC84" s="21"/>
      <c r="DD84" s="21"/>
      <c r="DE84" s="21"/>
      <c r="DF84" s="18"/>
      <c r="DG84" s="18"/>
      <c r="DH84" s="18"/>
      <c r="DI84" s="18"/>
      <c r="DJ84" s="18"/>
      <c r="DK84" s="18"/>
      <c r="DL84" s="18"/>
      <c r="DM84" s="18"/>
      <c r="DN84" s="18"/>
      <c r="DO84" s="18"/>
      <c r="DP84" s="18"/>
      <c r="DQ84" s="18"/>
      <c r="DR84" s="18"/>
      <c r="DS84" s="18"/>
      <c r="DT84" s="18"/>
      <c r="DU84" s="18"/>
      <c r="DV84" s="18"/>
      <c r="DW84" s="18"/>
      <c r="DX84" s="18"/>
      <c r="DY84" s="18"/>
      <c r="DZ84" s="18"/>
      <c r="EA84" s="18"/>
      <c r="EB84" s="18"/>
      <c r="EC84" s="18"/>
      <c r="ED84" s="18"/>
      <c r="EE84" s="18"/>
      <c r="EF84" s="18"/>
      <c r="EG84" s="18"/>
      <c r="EH84" s="18"/>
      <c r="EI84" s="18"/>
      <c r="EJ84" s="18"/>
      <c r="EK84" s="18"/>
      <c r="EL84" s="18"/>
      <c r="EM84" s="18"/>
      <c r="EN84" s="18"/>
      <c r="EO84" s="18"/>
      <c r="EP84" s="18"/>
      <c r="EQ84" s="18"/>
      <c r="ER84" s="18"/>
      <c r="ES84" s="18"/>
      <c r="ET84" s="18"/>
      <c r="EU84" s="18"/>
      <c r="EV84" s="18"/>
      <c r="EW84" s="18"/>
      <c r="EX84" s="18"/>
      <c r="EY84" s="18"/>
      <c r="EZ84" s="18"/>
      <c r="FA84" s="18"/>
      <c r="FB84" s="18"/>
      <c r="FC84" s="18"/>
      <c r="FD84" s="18"/>
      <c r="FE84" s="18"/>
      <c r="FF84" s="18"/>
      <c r="FG84" s="18"/>
      <c r="FH84" s="18"/>
      <c r="FI84" s="18"/>
      <c r="FJ84" s="18"/>
      <c r="FK84" s="18"/>
      <c r="FL84" s="18"/>
      <c r="FM84" s="18"/>
      <c r="FN84" s="18"/>
      <c r="FO84" s="18"/>
    </row>
    <row r="85" ht="15.75" customHeight="1">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c r="AA85" s="21"/>
      <c r="AB85" s="21"/>
      <c r="AC85" s="21"/>
      <c r="AD85" s="21"/>
      <c r="AE85" s="21"/>
      <c r="AF85" s="21"/>
      <c r="AG85" s="21"/>
      <c r="AH85" s="21"/>
      <c r="AI85" s="21"/>
      <c r="AJ85" s="21"/>
      <c r="AK85" s="21"/>
      <c r="AL85" s="21"/>
      <c r="AM85" s="21"/>
      <c r="AN85" s="21"/>
      <c r="AO85" s="21"/>
      <c r="AP85" s="21"/>
      <c r="AQ85" s="21"/>
      <c r="AR85" s="21"/>
      <c r="AS85" s="21"/>
      <c r="AT85" s="21"/>
      <c r="AU85" s="21"/>
      <c r="AV85" s="21"/>
      <c r="AW85" s="21"/>
      <c r="AX85" s="21"/>
      <c r="AY85" s="21"/>
      <c r="AZ85" s="21"/>
      <c r="BA85" s="21"/>
      <c r="BB85" s="21"/>
      <c r="BC85" s="21"/>
      <c r="BD85" s="21"/>
      <c r="BE85" s="21"/>
      <c r="BF85" s="21"/>
      <c r="BG85" s="21"/>
      <c r="BH85" s="21"/>
      <c r="BI85" s="21"/>
      <c r="BJ85" s="21"/>
      <c r="BK85" s="21"/>
      <c r="BL85" s="21"/>
      <c r="BM85" s="21"/>
      <c r="BN85" s="21"/>
      <c r="BO85" s="21"/>
      <c r="BP85" s="21"/>
      <c r="BQ85" s="21"/>
      <c r="BR85" s="21"/>
      <c r="BS85" s="21"/>
      <c r="BT85" s="21"/>
      <c r="BU85" s="21"/>
      <c r="BV85" s="21"/>
      <c r="BW85" s="21"/>
      <c r="BX85" s="21"/>
      <c r="BY85" s="21"/>
      <c r="BZ85" s="21"/>
      <c r="CA85" s="21"/>
      <c r="CB85" s="21"/>
      <c r="CC85" s="21"/>
      <c r="CD85" s="21"/>
      <c r="CE85" s="21"/>
      <c r="CF85" s="21"/>
      <c r="CG85" s="21"/>
      <c r="CH85" s="21"/>
      <c r="CI85" s="21"/>
      <c r="CJ85" s="21"/>
      <c r="CK85" s="21"/>
      <c r="CL85" s="21"/>
      <c r="CM85" s="21"/>
      <c r="CN85" s="21"/>
      <c r="CO85" s="21"/>
      <c r="CP85" s="21"/>
      <c r="CQ85" s="21"/>
      <c r="CR85" s="21"/>
      <c r="CS85" s="21"/>
      <c r="CT85" s="21"/>
      <c r="CU85" s="21"/>
      <c r="CV85" s="21"/>
      <c r="CW85" s="21"/>
      <c r="CX85" s="21"/>
      <c r="CY85" s="21"/>
      <c r="CZ85" s="21"/>
      <c r="DA85" s="21"/>
      <c r="DB85" s="21"/>
      <c r="DC85" s="21"/>
      <c r="DD85" s="21"/>
      <c r="DE85" s="21"/>
      <c r="DF85" s="18"/>
      <c r="DG85" s="18"/>
      <c r="DH85" s="18"/>
      <c r="DI85" s="18"/>
      <c r="DJ85" s="18"/>
      <c r="DK85" s="18"/>
      <c r="DL85" s="18"/>
      <c r="DM85" s="18"/>
      <c r="DN85" s="18"/>
      <c r="DO85" s="18"/>
      <c r="DP85" s="18"/>
      <c r="DQ85" s="18"/>
      <c r="DR85" s="18"/>
      <c r="DS85" s="18"/>
      <c r="DT85" s="18"/>
      <c r="DU85" s="18"/>
      <c r="DV85" s="18"/>
      <c r="DW85" s="18"/>
      <c r="DX85" s="18"/>
      <c r="DY85" s="18"/>
      <c r="DZ85" s="18"/>
      <c r="EA85" s="18"/>
      <c r="EB85" s="18"/>
      <c r="EC85" s="18"/>
      <c r="ED85" s="18"/>
      <c r="EE85" s="18"/>
      <c r="EF85" s="18"/>
      <c r="EG85" s="18"/>
      <c r="EH85" s="18"/>
      <c r="EI85" s="18"/>
      <c r="EJ85" s="18"/>
      <c r="EK85" s="18"/>
      <c r="EL85" s="18"/>
      <c r="EM85" s="18"/>
      <c r="EN85" s="18"/>
      <c r="EO85" s="18"/>
      <c r="EP85" s="18"/>
      <c r="EQ85" s="18"/>
      <c r="ER85" s="18"/>
      <c r="ES85" s="18"/>
      <c r="ET85" s="18"/>
      <c r="EU85" s="18"/>
      <c r="EV85" s="18"/>
      <c r="EW85" s="18"/>
      <c r="EX85" s="18"/>
      <c r="EY85" s="18"/>
      <c r="EZ85" s="18"/>
      <c r="FA85" s="18"/>
      <c r="FB85" s="18"/>
      <c r="FC85" s="18"/>
      <c r="FD85" s="18"/>
      <c r="FE85" s="18"/>
      <c r="FF85" s="18"/>
      <c r="FG85" s="18"/>
      <c r="FH85" s="18"/>
      <c r="FI85" s="18"/>
      <c r="FJ85" s="18"/>
      <c r="FK85" s="18"/>
      <c r="FL85" s="18"/>
      <c r="FM85" s="18"/>
      <c r="FN85" s="18"/>
      <c r="FO85" s="18"/>
    </row>
    <row r="86" ht="15.75" customHeight="1">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c r="AA86" s="21"/>
      <c r="AB86" s="21"/>
      <c r="AC86" s="21"/>
      <c r="AD86" s="21"/>
      <c r="AE86" s="21"/>
      <c r="AF86" s="21"/>
      <c r="AG86" s="21"/>
      <c r="AH86" s="21"/>
      <c r="AI86" s="21"/>
      <c r="AJ86" s="21"/>
      <c r="AK86" s="21"/>
      <c r="AL86" s="21"/>
      <c r="AM86" s="21"/>
      <c r="AN86" s="21"/>
      <c r="AO86" s="21"/>
      <c r="AP86" s="21"/>
      <c r="AQ86" s="21"/>
      <c r="AR86" s="21"/>
      <c r="AS86" s="21"/>
      <c r="AT86" s="21"/>
      <c r="AU86" s="21"/>
      <c r="AV86" s="21"/>
      <c r="AW86" s="21"/>
      <c r="AX86" s="21"/>
      <c r="AY86" s="21"/>
      <c r="AZ86" s="21"/>
      <c r="BA86" s="21"/>
      <c r="BB86" s="21"/>
      <c r="BC86" s="21"/>
      <c r="BD86" s="21"/>
      <c r="BE86" s="21"/>
      <c r="BF86" s="21"/>
      <c r="BG86" s="21"/>
      <c r="BH86" s="21"/>
      <c r="BI86" s="21"/>
      <c r="BJ86" s="21"/>
      <c r="BK86" s="21"/>
      <c r="BL86" s="21"/>
      <c r="BM86" s="21"/>
      <c r="BN86" s="21"/>
      <c r="BO86" s="21"/>
      <c r="BP86" s="21"/>
      <c r="BQ86" s="21"/>
      <c r="BR86" s="21"/>
      <c r="BS86" s="21"/>
      <c r="BT86" s="21"/>
      <c r="BU86" s="21"/>
      <c r="BV86" s="21"/>
      <c r="BW86" s="21"/>
      <c r="BX86" s="21"/>
      <c r="BY86" s="21"/>
      <c r="BZ86" s="21"/>
      <c r="CA86" s="21"/>
      <c r="CB86" s="21"/>
      <c r="CC86" s="21"/>
      <c r="CD86" s="21"/>
      <c r="CE86" s="21"/>
      <c r="CF86" s="21"/>
      <c r="CG86" s="21"/>
      <c r="CH86" s="21"/>
      <c r="CI86" s="21"/>
      <c r="CJ86" s="21"/>
      <c r="CK86" s="21"/>
      <c r="CL86" s="21"/>
      <c r="CM86" s="21"/>
      <c r="CN86" s="21"/>
      <c r="CO86" s="21"/>
      <c r="CP86" s="21"/>
      <c r="CQ86" s="21"/>
      <c r="CR86" s="21"/>
      <c r="CS86" s="21"/>
      <c r="CT86" s="21"/>
      <c r="CU86" s="21"/>
      <c r="CV86" s="21"/>
      <c r="CW86" s="21"/>
      <c r="CX86" s="21"/>
      <c r="CY86" s="21"/>
      <c r="CZ86" s="21"/>
      <c r="DA86" s="21"/>
      <c r="DB86" s="21"/>
      <c r="DC86" s="21"/>
      <c r="DD86" s="21"/>
      <c r="DE86" s="21"/>
      <c r="DF86" s="18"/>
      <c r="DG86" s="18"/>
      <c r="DH86" s="18"/>
      <c r="DI86" s="18"/>
      <c r="DJ86" s="18"/>
      <c r="DK86" s="18"/>
      <c r="DL86" s="18"/>
      <c r="DM86" s="18"/>
      <c r="DN86" s="18"/>
      <c r="DO86" s="18"/>
      <c r="DP86" s="18"/>
      <c r="DQ86" s="18"/>
      <c r="DR86" s="18"/>
      <c r="DS86" s="18"/>
      <c r="DT86" s="18"/>
      <c r="DU86" s="18"/>
      <c r="DV86" s="18"/>
      <c r="DW86" s="18"/>
      <c r="DX86" s="18"/>
      <c r="DY86" s="18"/>
      <c r="DZ86" s="18"/>
      <c r="EA86" s="18"/>
      <c r="EB86" s="18"/>
      <c r="EC86" s="18"/>
      <c r="ED86" s="18"/>
      <c r="EE86" s="18"/>
      <c r="EF86" s="18"/>
      <c r="EG86" s="18"/>
      <c r="EH86" s="18"/>
      <c r="EI86" s="18"/>
      <c r="EJ86" s="18"/>
      <c r="EK86" s="18"/>
      <c r="EL86" s="18"/>
      <c r="EM86" s="18"/>
      <c r="EN86" s="18"/>
      <c r="EO86" s="18"/>
      <c r="EP86" s="18"/>
      <c r="EQ86" s="18"/>
      <c r="ER86" s="18"/>
      <c r="ES86" s="18"/>
      <c r="ET86" s="18"/>
      <c r="EU86" s="18"/>
      <c r="EV86" s="18"/>
      <c r="EW86" s="18"/>
      <c r="EX86" s="18"/>
      <c r="EY86" s="18"/>
      <c r="EZ86" s="18"/>
      <c r="FA86" s="18"/>
      <c r="FB86" s="18"/>
      <c r="FC86" s="18"/>
      <c r="FD86" s="18"/>
      <c r="FE86" s="18"/>
      <c r="FF86" s="18"/>
      <c r="FG86" s="18"/>
      <c r="FH86" s="18"/>
      <c r="FI86" s="18"/>
      <c r="FJ86" s="18"/>
      <c r="FK86" s="18"/>
      <c r="FL86" s="18"/>
      <c r="FM86" s="18"/>
      <c r="FN86" s="18"/>
      <c r="FO86" s="18"/>
    </row>
    <row r="87" ht="15.75" customHeight="1">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c r="AQ87" s="21"/>
      <c r="AR87" s="21"/>
      <c r="AS87" s="21"/>
      <c r="AT87" s="21"/>
      <c r="AU87" s="21"/>
      <c r="AV87" s="21"/>
      <c r="AW87" s="21"/>
      <c r="AX87" s="21"/>
      <c r="AY87" s="21"/>
      <c r="AZ87" s="21"/>
      <c r="BA87" s="21"/>
      <c r="BB87" s="21"/>
      <c r="BC87" s="21"/>
      <c r="BD87" s="21"/>
      <c r="BE87" s="21"/>
      <c r="BF87" s="21"/>
      <c r="BG87" s="21"/>
      <c r="BH87" s="21"/>
      <c r="BI87" s="21"/>
      <c r="BJ87" s="21"/>
      <c r="BK87" s="21"/>
      <c r="BL87" s="21"/>
      <c r="BM87" s="21"/>
      <c r="BN87" s="21"/>
      <c r="BO87" s="21"/>
      <c r="BP87" s="21"/>
      <c r="BQ87" s="21"/>
      <c r="BR87" s="21"/>
      <c r="BS87" s="21"/>
      <c r="BT87" s="21"/>
      <c r="BU87" s="21"/>
      <c r="BV87" s="21"/>
      <c r="BW87" s="21"/>
      <c r="BX87" s="21"/>
      <c r="BY87" s="21"/>
      <c r="BZ87" s="21"/>
      <c r="CA87" s="21"/>
      <c r="CB87" s="21"/>
      <c r="CC87" s="21"/>
      <c r="CD87" s="21"/>
      <c r="CE87" s="21"/>
      <c r="CF87" s="21"/>
      <c r="CG87" s="21"/>
      <c r="CH87" s="21"/>
      <c r="CI87" s="21"/>
      <c r="CJ87" s="21"/>
      <c r="CK87" s="21"/>
      <c r="CL87" s="21"/>
      <c r="CM87" s="21"/>
      <c r="CN87" s="21"/>
      <c r="CO87" s="21"/>
      <c r="CP87" s="21"/>
      <c r="CQ87" s="21"/>
      <c r="CR87" s="21"/>
      <c r="CS87" s="21"/>
      <c r="CT87" s="21"/>
      <c r="CU87" s="21"/>
      <c r="CV87" s="21"/>
      <c r="CW87" s="21"/>
      <c r="CX87" s="21"/>
      <c r="CY87" s="21"/>
      <c r="CZ87" s="21"/>
      <c r="DA87" s="21"/>
      <c r="DB87" s="21"/>
      <c r="DC87" s="21"/>
      <c r="DD87" s="21"/>
      <c r="DE87" s="21"/>
      <c r="DF87" s="18"/>
      <c r="DG87" s="18"/>
      <c r="DH87" s="18"/>
      <c r="DI87" s="18"/>
      <c r="DJ87" s="18"/>
      <c r="DK87" s="18"/>
      <c r="DL87" s="18"/>
      <c r="DM87" s="18"/>
      <c r="DN87" s="18"/>
      <c r="DO87" s="18"/>
      <c r="DP87" s="18"/>
      <c r="DQ87" s="18"/>
      <c r="DR87" s="18"/>
      <c r="DS87" s="18"/>
      <c r="DT87" s="18"/>
      <c r="DU87" s="18"/>
      <c r="DV87" s="18"/>
      <c r="DW87" s="18"/>
      <c r="DX87" s="18"/>
      <c r="DY87" s="18"/>
      <c r="DZ87" s="18"/>
      <c r="EA87" s="18"/>
      <c r="EB87" s="18"/>
      <c r="EC87" s="18"/>
      <c r="ED87" s="18"/>
      <c r="EE87" s="18"/>
      <c r="EF87" s="18"/>
      <c r="EG87" s="18"/>
      <c r="EH87" s="18"/>
      <c r="EI87" s="18"/>
      <c r="EJ87" s="18"/>
      <c r="EK87" s="18"/>
      <c r="EL87" s="18"/>
      <c r="EM87" s="18"/>
      <c r="EN87" s="18"/>
      <c r="EO87" s="18"/>
      <c r="EP87" s="18"/>
      <c r="EQ87" s="18"/>
      <c r="ER87" s="18"/>
      <c r="ES87" s="18"/>
      <c r="ET87" s="18"/>
      <c r="EU87" s="18"/>
      <c r="EV87" s="18"/>
      <c r="EW87" s="18"/>
      <c r="EX87" s="18"/>
      <c r="EY87" s="18"/>
      <c r="EZ87" s="18"/>
      <c r="FA87" s="18"/>
      <c r="FB87" s="18"/>
      <c r="FC87" s="18"/>
      <c r="FD87" s="18"/>
      <c r="FE87" s="18"/>
      <c r="FF87" s="18"/>
      <c r="FG87" s="18"/>
      <c r="FH87" s="18"/>
      <c r="FI87" s="18"/>
      <c r="FJ87" s="18"/>
      <c r="FK87" s="18"/>
      <c r="FL87" s="18"/>
      <c r="FM87" s="18"/>
      <c r="FN87" s="18"/>
      <c r="FO87" s="18"/>
    </row>
    <row r="88" ht="15.75" customHeight="1">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c r="AA88" s="21"/>
      <c r="AB88" s="21"/>
      <c r="AC88" s="21"/>
      <c r="AD88" s="21"/>
      <c r="AE88" s="21"/>
      <c r="AF88" s="21"/>
      <c r="AG88" s="21"/>
      <c r="AH88" s="21"/>
      <c r="AI88" s="21"/>
      <c r="AJ88" s="21"/>
      <c r="AK88" s="21"/>
      <c r="AL88" s="21"/>
      <c r="AM88" s="21"/>
      <c r="AN88" s="21"/>
      <c r="AO88" s="21"/>
      <c r="AP88" s="21"/>
      <c r="AQ88" s="21"/>
      <c r="AR88" s="21"/>
      <c r="AS88" s="21"/>
      <c r="AT88" s="21"/>
      <c r="AU88" s="21"/>
      <c r="AV88" s="21"/>
      <c r="AW88" s="21"/>
      <c r="AX88" s="21"/>
      <c r="AY88" s="21"/>
      <c r="AZ88" s="21"/>
      <c r="BA88" s="21"/>
      <c r="BB88" s="21"/>
      <c r="BC88" s="21"/>
      <c r="BD88" s="21"/>
      <c r="BE88" s="21"/>
      <c r="BF88" s="21"/>
      <c r="BG88" s="21"/>
      <c r="BH88" s="21"/>
      <c r="BI88" s="21"/>
      <c r="BJ88" s="21"/>
      <c r="BK88" s="21"/>
      <c r="BL88" s="21"/>
      <c r="BM88" s="21"/>
      <c r="BN88" s="21"/>
      <c r="BO88" s="21"/>
      <c r="BP88" s="21"/>
      <c r="BQ88" s="21"/>
      <c r="BR88" s="21"/>
      <c r="BS88" s="21"/>
      <c r="BT88" s="21"/>
      <c r="BU88" s="21"/>
      <c r="BV88" s="21"/>
      <c r="BW88" s="21"/>
      <c r="BX88" s="21"/>
      <c r="BY88" s="21"/>
      <c r="BZ88" s="21"/>
      <c r="CA88" s="21"/>
      <c r="CB88" s="21"/>
      <c r="CC88" s="21"/>
      <c r="CD88" s="21"/>
      <c r="CE88" s="21"/>
      <c r="CF88" s="21"/>
      <c r="CG88" s="21"/>
      <c r="CH88" s="21"/>
      <c r="CI88" s="21"/>
      <c r="CJ88" s="21"/>
      <c r="CK88" s="21"/>
      <c r="CL88" s="21"/>
      <c r="CM88" s="21"/>
      <c r="CN88" s="21"/>
      <c r="CO88" s="21"/>
      <c r="CP88" s="21"/>
      <c r="CQ88" s="21"/>
      <c r="CR88" s="21"/>
      <c r="CS88" s="21"/>
      <c r="CT88" s="21"/>
      <c r="CU88" s="21"/>
      <c r="CV88" s="21"/>
      <c r="CW88" s="21"/>
      <c r="CX88" s="21"/>
      <c r="CY88" s="21"/>
      <c r="CZ88" s="21"/>
      <c r="DA88" s="21"/>
      <c r="DB88" s="21"/>
      <c r="DC88" s="21"/>
      <c r="DD88" s="21"/>
      <c r="DE88" s="21"/>
      <c r="DF88" s="18"/>
      <c r="DG88" s="18"/>
      <c r="DH88" s="18"/>
      <c r="DI88" s="18"/>
      <c r="DJ88" s="18"/>
      <c r="DK88" s="18"/>
      <c r="DL88" s="18"/>
      <c r="DM88" s="18"/>
      <c r="DN88" s="18"/>
      <c r="DO88" s="18"/>
      <c r="DP88" s="18"/>
      <c r="DQ88" s="18"/>
      <c r="DR88" s="18"/>
      <c r="DS88" s="18"/>
      <c r="DT88" s="18"/>
      <c r="DU88" s="18"/>
      <c r="DV88" s="18"/>
      <c r="DW88" s="18"/>
      <c r="DX88" s="18"/>
      <c r="DY88" s="18"/>
      <c r="DZ88" s="18"/>
      <c r="EA88" s="18"/>
      <c r="EB88" s="18"/>
      <c r="EC88" s="18"/>
      <c r="ED88" s="18"/>
      <c r="EE88" s="18"/>
      <c r="EF88" s="18"/>
      <c r="EG88" s="18"/>
      <c r="EH88" s="18"/>
      <c r="EI88" s="18"/>
      <c r="EJ88" s="18"/>
      <c r="EK88" s="18"/>
      <c r="EL88" s="18"/>
      <c r="EM88" s="18"/>
      <c r="EN88" s="18"/>
      <c r="EO88" s="18"/>
      <c r="EP88" s="18"/>
      <c r="EQ88" s="18"/>
      <c r="ER88" s="18"/>
      <c r="ES88" s="18"/>
      <c r="ET88" s="18"/>
      <c r="EU88" s="18"/>
      <c r="EV88" s="18"/>
      <c r="EW88" s="18"/>
      <c r="EX88" s="18"/>
      <c r="EY88" s="18"/>
      <c r="EZ88" s="18"/>
      <c r="FA88" s="18"/>
      <c r="FB88" s="18"/>
      <c r="FC88" s="18"/>
      <c r="FD88" s="18"/>
      <c r="FE88" s="18"/>
      <c r="FF88" s="18"/>
      <c r="FG88" s="18"/>
      <c r="FH88" s="18"/>
      <c r="FI88" s="18"/>
      <c r="FJ88" s="18"/>
      <c r="FK88" s="18"/>
      <c r="FL88" s="18"/>
      <c r="FM88" s="18"/>
      <c r="FN88" s="18"/>
      <c r="FO88" s="18"/>
    </row>
    <row r="89" ht="15.75" customHeight="1">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c r="AA89" s="21"/>
      <c r="AB89" s="21"/>
      <c r="AC89" s="21"/>
      <c r="AD89" s="21"/>
      <c r="AE89" s="21"/>
      <c r="AF89" s="21"/>
      <c r="AG89" s="21"/>
      <c r="AH89" s="21"/>
      <c r="AI89" s="21"/>
      <c r="AJ89" s="21"/>
      <c r="AK89" s="21"/>
      <c r="AL89" s="21"/>
      <c r="AM89" s="21"/>
      <c r="AN89" s="21"/>
      <c r="AO89" s="21"/>
      <c r="AP89" s="21"/>
      <c r="AQ89" s="21"/>
      <c r="AR89" s="21"/>
      <c r="AS89" s="21"/>
      <c r="AT89" s="21"/>
      <c r="AU89" s="21"/>
      <c r="AV89" s="21"/>
      <c r="AW89" s="21"/>
      <c r="AX89" s="21"/>
      <c r="AY89" s="21"/>
      <c r="AZ89" s="21"/>
      <c r="BA89" s="21"/>
      <c r="BB89" s="21"/>
      <c r="BC89" s="21"/>
      <c r="BD89" s="21"/>
      <c r="BE89" s="21"/>
      <c r="BF89" s="21"/>
      <c r="BG89" s="21"/>
      <c r="BH89" s="21"/>
      <c r="BI89" s="21"/>
      <c r="BJ89" s="21"/>
      <c r="BK89" s="21"/>
      <c r="BL89" s="21"/>
      <c r="BM89" s="21"/>
      <c r="BN89" s="21"/>
      <c r="BO89" s="21"/>
      <c r="BP89" s="21"/>
      <c r="BQ89" s="21"/>
      <c r="BR89" s="21"/>
      <c r="BS89" s="21"/>
      <c r="BT89" s="21"/>
      <c r="BU89" s="21"/>
      <c r="BV89" s="21"/>
      <c r="BW89" s="21"/>
      <c r="BX89" s="21"/>
      <c r="BY89" s="21"/>
      <c r="BZ89" s="21"/>
      <c r="CA89" s="21"/>
      <c r="CB89" s="21"/>
      <c r="CC89" s="21"/>
      <c r="CD89" s="21"/>
      <c r="CE89" s="21"/>
      <c r="CF89" s="21"/>
      <c r="CG89" s="21"/>
      <c r="CH89" s="21"/>
      <c r="CI89" s="21"/>
      <c r="CJ89" s="21"/>
      <c r="CK89" s="21"/>
      <c r="CL89" s="21"/>
      <c r="CM89" s="21"/>
      <c r="CN89" s="21"/>
      <c r="CO89" s="21"/>
      <c r="CP89" s="21"/>
      <c r="CQ89" s="21"/>
      <c r="CR89" s="21"/>
      <c r="CS89" s="21"/>
      <c r="CT89" s="21"/>
      <c r="CU89" s="21"/>
      <c r="CV89" s="21"/>
      <c r="CW89" s="21"/>
      <c r="CX89" s="21"/>
      <c r="CY89" s="21"/>
      <c r="CZ89" s="21"/>
      <c r="DA89" s="21"/>
      <c r="DB89" s="21"/>
      <c r="DC89" s="21"/>
      <c r="DD89" s="21"/>
      <c r="DE89" s="21"/>
      <c r="DF89" s="18"/>
      <c r="DG89" s="18"/>
      <c r="DH89" s="18"/>
      <c r="DI89" s="18"/>
      <c r="DJ89" s="18"/>
      <c r="DK89" s="18"/>
      <c r="DL89" s="18"/>
      <c r="DM89" s="18"/>
      <c r="DN89" s="18"/>
      <c r="DO89" s="18"/>
      <c r="DP89" s="18"/>
      <c r="DQ89" s="18"/>
      <c r="DR89" s="18"/>
      <c r="DS89" s="18"/>
      <c r="DT89" s="18"/>
      <c r="DU89" s="18"/>
      <c r="DV89" s="18"/>
      <c r="DW89" s="18"/>
      <c r="DX89" s="18"/>
      <c r="DY89" s="18"/>
      <c r="DZ89" s="18"/>
      <c r="EA89" s="18"/>
      <c r="EB89" s="18"/>
      <c r="EC89" s="18"/>
      <c r="ED89" s="18"/>
      <c r="EE89" s="18"/>
      <c r="EF89" s="18"/>
      <c r="EG89" s="18"/>
      <c r="EH89" s="18"/>
      <c r="EI89" s="18"/>
      <c r="EJ89" s="18"/>
      <c r="EK89" s="18"/>
      <c r="EL89" s="18"/>
      <c r="EM89" s="18"/>
      <c r="EN89" s="18"/>
      <c r="EO89" s="18"/>
      <c r="EP89" s="18"/>
      <c r="EQ89" s="18"/>
      <c r="ER89" s="18"/>
      <c r="ES89" s="18"/>
      <c r="ET89" s="18"/>
      <c r="EU89" s="18"/>
      <c r="EV89" s="18"/>
      <c r="EW89" s="18"/>
      <c r="EX89" s="18"/>
      <c r="EY89" s="18"/>
      <c r="EZ89" s="18"/>
      <c r="FA89" s="18"/>
      <c r="FB89" s="18"/>
      <c r="FC89" s="18"/>
      <c r="FD89" s="18"/>
      <c r="FE89" s="18"/>
      <c r="FF89" s="18"/>
      <c r="FG89" s="18"/>
      <c r="FH89" s="18"/>
      <c r="FI89" s="18"/>
      <c r="FJ89" s="18"/>
      <c r="FK89" s="18"/>
      <c r="FL89" s="18"/>
      <c r="FM89" s="18"/>
      <c r="FN89" s="18"/>
      <c r="FO89" s="18"/>
    </row>
    <row r="90" ht="15.75" customHeight="1">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c r="AA90" s="21"/>
      <c r="AB90" s="21"/>
      <c r="AC90" s="21"/>
      <c r="AD90" s="21"/>
      <c r="AE90" s="21"/>
      <c r="AF90" s="21"/>
      <c r="AG90" s="21"/>
      <c r="AH90" s="21"/>
      <c r="AI90" s="21"/>
      <c r="AJ90" s="21"/>
      <c r="AK90" s="21"/>
      <c r="AL90" s="21"/>
      <c r="AM90" s="21"/>
      <c r="AN90" s="21"/>
      <c r="AO90" s="21"/>
      <c r="AP90" s="21"/>
      <c r="AQ90" s="21"/>
      <c r="AR90" s="21"/>
      <c r="AS90" s="21"/>
      <c r="AT90" s="21"/>
      <c r="AU90" s="21"/>
      <c r="AV90" s="21"/>
      <c r="AW90" s="21"/>
      <c r="AX90" s="21"/>
      <c r="AY90" s="21"/>
      <c r="AZ90" s="21"/>
      <c r="BA90" s="21"/>
      <c r="BB90" s="21"/>
      <c r="BC90" s="21"/>
      <c r="BD90" s="21"/>
      <c r="BE90" s="21"/>
      <c r="BF90" s="21"/>
      <c r="BG90" s="21"/>
      <c r="BH90" s="21"/>
      <c r="BI90" s="21"/>
      <c r="BJ90" s="21"/>
      <c r="BK90" s="21"/>
      <c r="BL90" s="21"/>
      <c r="BM90" s="21"/>
      <c r="BN90" s="21"/>
      <c r="BO90" s="21"/>
      <c r="BP90" s="21"/>
      <c r="BQ90" s="21"/>
      <c r="BR90" s="21"/>
      <c r="BS90" s="21"/>
      <c r="BT90" s="21"/>
      <c r="BU90" s="21"/>
      <c r="BV90" s="21"/>
      <c r="BW90" s="21"/>
      <c r="BX90" s="21"/>
      <c r="BY90" s="21"/>
      <c r="BZ90" s="21"/>
      <c r="CA90" s="21"/>
      <c r="CB90" s="21"/>
      <c r="CC90" s="21"/>
      <c r="CD90" s="21"/>
      <c r="CE90" s="21"/>
      <c r="CF90" s="21"/>
      <c r="CG90" s="21"/>
      <c r="CH90" s="21"/>
      <c r="CI90" s="21"/>
      <c r="CJ90" s="21"/>
      <c r="CK90" s="21"/>
      <c r="CL90" s="21"/>
      <c r="CM90" s="21"/>
      <c r="CN90" s="21"/>
      <c r="CO90" s="21"/>
      <c r="CP90" s="21"/>
      <c r="CQ90" s="21"/>
      <c r="CR90" s="21"/>
      <c r="CS90" s="21"/>
      <c r="CT90" s="21"/>
      <c r="CU90" s="21"/>
      <c r="CV90" s="21"/>
      <c r="CW90" s="21"/>
      <c r="CX90" s="21"/>
      <c r="CY90" s="21"/>
      <c r="CZ90" s="21"/>
      <c r="DA90" s="21"/>
      <c r="DB90" s="21"/>
      <c r="DC90" s="21"/>
      <c r="DD90" s="21"/>
      <c r="DE90" s="21"/>
      <c r="DF90" s="18"/>
      <c r="DG90" s="18"/>
      <c r="DH90" s="18"/>
      <c r="DI90" s="18"/>
      <c r="DJ90" s="18"/>
      <c r="DK90" s="18"/>
      <c r="DL90" s="18"/>
      <c r="DM90" s="18"/>
      <c r="DN90" s="18"/>
      <c r="DO90" s="18"/>
      <c r="DP90" s="18"/>
      <c r="DQ90" s="18"/>
      <c r="DR90" s="18"/>
      <c r="DS90" s="18"/>
      <c r="DT90" s="18"/>
      <c r="DU90" s="18"/>
      <c r="DV90" s="18"/>
      <c r="DW90" s="18"/>
      <c r="DX90" s="18"/>
      <c r="DY90" s="18"/>
      <c r="DZ90" s="18"/>
      <c r="EA90" s="18"/>
      <c r="EB90" s="18"/>
      <c r="EC90" s="18"/>
      <c r="ED90" s="18"/>
      <c r="EE90" s="18"/>
      <c r="EF90" s="18"/>
      <c r="EG90" s="18"/>
      <c r="EH90" s="18"/>
      <c r="EI90" s="18"/>
      <c r="EJ90" s="18"/>
      <c r="EK90" s="18"/>
      <c r="EL90" s="18"/>
      <c r="EM90" s="18"/>
      <c r="EN90" s="18"/>
      <c r="EO90" s="18"/>
      <c r="EP90" s="18"/>
      <c r="EQ90" s="18"/>
      <c r="ER90" s="18"/>
      <c r="ES90" s="18"/>
      <c r="ET90" s="18"/>
      <c r="EU90" s="18"/>
      <c r="EV90" s="18"/>
      <c r="EW90" s="18"/>
      <c r="EX90" s="18"/>
      <c r="EY90" s="18"/>
      <c r="EZ90" s="18"/>
      <c r="FA90" s="18"/>
      <c r="FB90" s="18"/>
      <c r="FC90" s="18"/>
      <c r="FD90" s="18"/>
      <c r="FE90" s="18"/>
      <c r="FF90" s="18"/>
      <c r="FG90" s="18"/>
      <c r="FH90" s="18"/>
      <c r="FI90" s="18"/>
      <c r="FJ90" s="18"/>
      <c r="FK90" s="18"/>
      <c r="FL90" s="18"/>
      <c r="FM90" s="18"/>
      <c r="FN90" s="18"/>
      <c r="FO90" s="18"/>
    </row>
    <row r="91" ht="15.75" customHeight="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c r="AA91" s="21"/>
      <c r="AB91" s="21"/>
      <c r="AC91" s="21"/>
      <c r="AD91" s="21"/>
      <c r="AE91" s="21"/>
      <c r="AF91" s="21"/>
      <c r="AG91" s="21"/>
      <c r="AH91" s="21"/>
      <c r="AI91" s="21"/>
      <c r="AJ91" s="21"/>
      <c r="AK91" s="21"/>
      <c r="AL91" s="21"/>
      <c r="AM91" s="21"/>
      <c r="AN91" s="21"/>
      <c r="AO91" s="21"/>
      <c r="AP91" s="21"/>
      <c r="AQ91" s="21"/>
      <c r="AR91" s="21"/>
      <c r="AS91" s="21"/>
      <c r="AT91" s="21"/>
      <c r="AU91" s="21"/>
      <c r="AV91" s="21"/>
      <c r="AW91" s="21"/>
      <c r="AX91" s="21"/>
      <c r="AY91" s="21"/>
      <c r="AZ91" s="21"/>
      <c r="BA91" s="21"/>
      <c r="BB91" s="21"/>
      <c r="BC91" s="21"/>
      <c r="BD91" s="21"/>
      <c r="BE91" s="21"/>
      <c r="BF91" s="21"/>
      <c r="BG91" s="21"/>
      <c r="BH91" s="21"/>
      <c r="BI91" s="21"/>
      <c r="BJ91" s="21"/>
      <c r="BK91" s="21"/>
      <c r="BL91" s="21"/>
      <c r="BM91" s="21"/>
      <c r="BN91" s="21"/>
      <c r="BO91" s="21"/>
      <c r="BP91" s="21"/>
      <c r="BQ91" s="21"/>
      <c r="BR91" s="21"/>
      <c r="BS91" s="21"/>
      <c r="BT91" s="21"/>
      <c r="BU91" s="21"/>
      <c r="BV91" s="21"/>
      <c r="BW91" s="21"/>
      <c r="BX91" s="21"/>
      <c r="BY91" s="21"/>
      <c r="BZ91" s="21"/>
      <c r="CA91" s="21"/>
      <c r="CB91" s="21"/>
      <c r="CC91" s="21"/>
      <c r="CD91" s="21"/>
      <c r="CE91" s="21"/>
      <c r="CF91" s="21"/>
      <c r="CG91" s="21"/>
      <c r="CH91" s="21"/>
      <c r="CI91" s="21"/>
      <c r="CJ91" s="21"/>
      <c r="CK91" s="21"/>
      <c r="CL91" s="21"/>
      <c r="CM91" s="21"/>
      <c r="CN91" s="21"/>
      <c r="CO91" s="21"/>
      <c r="CP91" s="21"/>
      <c r="CQ91" s="21"/>
      <c r="CR91" s="21"/>
      <c r="CS91" s="21"/>
      <c r="CT91" s="21"/>
      <c r="CU91" s="21"/>
      <c r="CV91" s="21"/>
      <c r="CW91" s="21"/>
      <c r="CX91" s="21"/>
      <c r="CY91" s="21"/>
      <c r="CZ91" s="21"/>
      <c r="DA91" s="21"/>
      <c r="DB91" s="21"/>
      <c r="DC91" s="21"/>
      <c r="DD91" s="21"/>
      <c r="DE91" s="21"/>
      <c r="DF91" s="18"/>
      <c r="DG91" s="18"/>
      <c r="DH91" s="18"/>
      <c r="DI91" s="18"/>
      <c r="DJ91" s="18"/>
      <c r="DK91" s="18"/>
      <c r="DL91" s="18"/>
      <c r="DM91" s="18"/>
      <c r="DN91" s="18"/>
      <c r="DO91" s="18"/>
      <c r="DP91" s="18"/>
      <c r="DQ91" s="18"/>
      <c r="DR91" s="18"/>
      <c r="DS91" s="18"/>
      <c r="DT91" s="18"/>
      <c r="DU91" s="18"/>
      <c r="DV91" s="18"/>
      <c r="DW91" s="18"/>
      <c r="DX91" s="18"/>
      <c r="DY91" s="18"/>
      <c r="DZ91" s="18"/>
      <c r="EA91" s="18"/>
      <c r="EB91" s="18"/>
      <c r="EC91" s="18"/>
      <c r="ED91" s="18"/>
      <c r="EE91" s="18"/>
      <c r="EF91" s="18"/>
      <c r="EG91" s="18"/>
      <c r="EH91" s="18"/>
      <c r="EI91" s="18"/>
      <c r="EJ91" s="18"/>
      <c r="EK91" s="18"/>
      <c r="EL91" s="18"/>
      <c r="EM91" s="18"/>
      <c r="EN91" s="18"/>
      <c r="EO91" s="18"/>
      <c r="EP91" s="18"/>
      <c r="EQ91" s="18"/>
      <c r="ER91" s="18"/>
      <c r="ES91" s="18"/>
      <c r="ET91" s="18"/>
      <c r="EU91" s="18"/>
      <c r="EV91" s="18"/>
      <c r="EW91" s="18"/>
      <c r="EX91" s="18"/>
      <c r="EY91" s="18"/>
      <c r="EZ91" s="18"/>
      <c r="FA91" s="18"/>
      <c r="FB91" s="18"/>
      <c r="FC91" s="18"/>
      <c r="FD91" s="18"/>
      <c r="FE91" s="18"/>
      <c r="FF91" s="18"/>
      <c r="FG91" s="18"/>
      <c r="FH91" s="18"/>
      <c r="FI91" s="18"/>
      <c r="FJ91" s="18"/>
      <c r="FK91" s="18"/>
      <c r="FL91" s="18"/>
      <c r="FM91" s="18"/>
      <c r="FN91" s="18"/>
      <c r="FO91" s="18"/>
    </row>
    <row r="92" ht="15.75" customHeight="1">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1"/>
      <c r="AR92" s="21"/>
      <c r="AS92" s="21"/>
      <c r="AT92" s="21"/>
      <c r="AU92" s="21"/>
      <c r="AV92" s="21"/>
      <c r="AW92" s="21"/>
      <c r="AX92" s="21"/>
      <c r="AY92" s="21"/>
      <c r="AZ92" s="21"/>
      <c r="BA92" s="21"/>
      <c r="BB92" s="21"/>
      <c r="BC92" s="21"/>
      <c r="BD92" s="21"/>
      <c r="BE92" s="21"/>
      <c r="BF92" s="21"/>
      <c r="BG92" s="21"/>
      <c r="BH92" s="21"/>
      <c r="BI92" s="21"/>
      <c r="BJ92" s="21"/>
      <c r="BK92" s="21"/>
      <c r="BL92" s="21"/>
      <c r="BM92" s="21"/>
      <c r="BN92" s="21"/>
      <c r="BO92" s="21"/>
      <c r="BP92" s="21"/>
      <c r="BQ92" s="21"/>
      <c r="BR92" s="21"/>
      <c r="BS92" s="21"/>
      <c r="BT92" s="21"/>
      <c r="BU92" s="21"/>
      <c r="BV92" s="21"/>
      <c r="BW92" s="21"/>
      <c r="BX92" s="21"/>
      <c r="BY92" s="21"/>
      <c r="BZ92" s="21"/>
      <c r="CA92" s="21"/>
      <c r="CB92" s="21"/>
      <c r="CC92" s="21"/>
      <c r="CD92" s="21"/>
      <c r="CE92" s="21"/>
      <c r="CF92" s="21"/>
      <c r="CG92" s="21"/>
      <c r="CH92" s="21"/>
      <c r="CI92" s="21"/>
      <c r="CJ92" s="21"/>
      <c r="CK92" s="21"/>
      <c r="CL92" s="21"/>
      <c r="CM92" s="21"/>
      <c r="CN92" s="21"/>
      <c r="CO92" s="21"/>
      <c r="CP92" s="21"/>
      <c r="CQ92" s="21"/>
      <c r="CR92" s="21"/>
      <c r="CS92" s="21"/>
      <c r="CT92" s="21"/>
      <c r="CU92" s="21"/>
      <c r="CV92" s="21"/>
      <c r="CW92" s="21"/>
      <c r="CX92" s="21"/>
      <c r="CY92" s="21"/>
      <c r="CZ92" s="21"/>
      <c r="DA92" s="21"/>
      <c r="DB92" s="21"/>
      <c r="DC92" s="21"/>
      <c r="DD92" s="21"/>
      <c r="DE92" s="21"/>
      <c r="DF92" s="18"/>
      <c r="DG92" s="18"/>
      <c r="DH92" s="18"/>
      <c r="DI92" s="18"/>
      <c r="DJ92" s="18"/>
      <c r="DK92" s="18"/>
      <c r="DL92" s="18"/>
      <c r="DM92" s="18"/>
      <c r="DN92" s="18"/>
      <c r="DO92" s="18"/>
      <c r="DP92" s="18"/>
      <c r="DQ92" s="18"/>
      <c r="DR92" s="18"/>
      <c r="DS92" s="18"/>
      <c r="DT92" s="18"/>
      <c r="DU92" s="18"/>
      <c r="DV92" s="18"/>
      <c r="DW92" s="18"/>
      <c r="DX92" s="18"/>
      <c r="DY92" s="18"/>
      <c r="DZ92" s="18"/>
      <c r="EA92" s="18"/>
      <c r="EB92" s="18"/>
      <c r="EC92" s="18"/>
      <c r="ED92" s="18"/>
      <c r="EE92" s="18"/>
      <c r="EF92" s="18"/>
      <c r="EG92" s="18"/>
      <c r="EH92" s="18"/>
      <c r="EI92" s="18"/>
      <c r="EJ92" s="18"/>
      <c r="EK92" s="18"/>
      <c r="EL92" s="18"/>
      <c r="EM92" s="18"/>
      <c r="EN92" s="18"/>
      <c r="EO92" s="18"/>
      <c r="EP92" s="18"/>
      <c r="EQ92" s="18"/>
      <c r="ER92" s="18"/>
      <c r="ES92" s="18"/>
      <c r="ET92" s="18"/>
      <c r="EU92" s="18"/>
      <c r="EV92" s="18"/>
      <c r="EW92" s="18"/>
      <c r="EX92" s="18"/>
      <c r="EY92" s="18"/>
      <c r="EZ92" s="18"/>
      <c r="FA92" s="18"/>
      <c r="FB92" s="18"/>
      <c r="FC92" s="18"/>
      <c r="FD92" s="18"/>
      <c r="FE92" s="18"/>
      <c r="FF92" s="18"/>
      <c r="FG92" s="18"/>
      <c r="FH92" s="18"/>
      <c r="FI92" s="18"/>
      <c r="FJ92" s="18"/>
      <c r="FK92" s="18"/>
      <c r="FL92" s="18"/>
      <c r="FM92" s="18"/>
      <c r="FN92" s="18"/>
      <c r="FO92" s="18"/>
    </row>
    <row r="93" ht="15.75" customHeight="1">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c r="AA93" s="21"/>
      <c r="AB93" s="21"/>
      <c r="AC93" s="21"/>
      <c r="AD93" s="21"/>
      <c r="AE93" s="21"/>
      <c r="AF93" s="21"/>
      <c r="AG93" s="21"/>
      <c r="AH93" s="21"/>
      <c r="AI93" s="21"/>
      <c r="AJ93" s="21"/>
      <c r="AK93" s="21"/>
      <c r="AL93" s="21"/>
      <c r="AM93" s="21"/>
      <c r="AN93" s="21"/>
      <c r="AO93" s="21"/>
      <c r="AP93" s="21"/>
      <c r="AQ93" s="21"/>
      <c r="AR93" s="21"/>
      <c r="AS93" s="21"/>
      <c r="AT93" s="21"/>
      <c r="AU93" s="21"/>
      <c r="AV93" s="21"/>
      <c r="AW93" s="21"/>
      <c r="AX93" s="21"/>
      <c r="AY93" s="21"/>
      <c r="AZ93" s="21"/>
      <c r="BA93" s="21"/>
      <c r="BB93" s="21"/>
      <c r="BC93" s="21"/>
      <c r="BD93" s="21"/>
      <c r="BE93" s="21"/>
      <c r="BF93" s="21"/>
      <c r="BG93" s="21"/>
      <c r="BH93" s="21"/>
      <c r="BI93" s="21"/>
      <c r="BJ93" s="21"/>
      <c r="BK93" s="21"/>
      <c r="BL93" s="21"/>
      <c r="BM93" s="21"/>
      <c r="BN93" s="21"/>
      <c r="BO93" s="21"/>
      <c r="BP93" s="21"/>
      <c r="BQ93" s="21"/>
      <c r="BR93" s="21"/>
      <c r="BS93" s="21"/>
      <c r="BT93" s="21"/>
      <c r="BU93" s="21"/>
      <c r="BV93" s="21"/>
      <c r="BW93" s="21"/>
      <c r="BX93" s="21"/>
      <c r="BY93" s="21"/>
      <c r="BZ93" s="21"/>
      <c r="CA93" s="21"/>
      <c r="CB93" s="21"/>
      <c r="CC93" s="21"/>
      <c r="CD93" s="21"/>
      <c r="CE93" s="21"/>
      <c r="CF93" s="21"/>
      <c r="CG93" s="21"/>
      <c r="CH93" s="21"/>
      <c r="CI93" s="21"/>
      <c r="CJ93" s="21"/>
      <c r="CK93" s="21"/>
      <c r="CL93" s="21"/>
      <c r="CM93" s="21"/>
      <c r="CN93" s="21"/>
      <c r="CO93" s="21"/>
      <c r="CP93" s="21"/>
      <c r="CQ93" s="21"/>
      <c r="CR93" s="21"/>
      <c r="CS93" s="21"/>
      <c r="CT93" s="21"/>
      <c r="CU93" s="21"/>
      <c r="CV93" s="21"/>
      <c r="CW93" s="21"/>
      <c r="CX93" s="21"/>
      <c r="CY93" s="21"/>
      <c r="CZ93" s="21"/>
      <c r="DA93" s="21"/>
      <c r="DB93" s="21"/>
      <c r="DC93" s="21"/>
      <c r="DD93" s="21"/>
      <c r="DE93" s="21"/>
      <c r="DF93" s="18"/>
      <c r="DG93" s="18"/>
      <c r="DH93" s="18"/>
      <c r="DI93" s="18"/>
      <c r="DJ93" s="18"/>
      <c r="DK93" s="18"/>
      <c r="DL93" s="18"/>
      <c r="DM93" s="18"/>
      <c r="DN93" s="18"/>
      <c r="DO93" s="18"/>
      <c r="DP93" s="18"/>
      <c r="DQ93" s="18"/>
      <c r="DR93" s="18"/>
      <c r="DS93" s="18"/>
      <c r="DT93" s="18"/>
      <c r="DU93" s="18"/>
      <c r="DV93" s="18"/>
      <c r="DW93" s="18"/>
      <c r="DX93" s="18"/>
      <c r="DY93" s="18"/>
      <c r="DZ93" s="18"/>
      <c r="EA93" s="18"/>
      <c r="EB93" s="18"/>
      <c r="EC93" s="18"/>
      <c r="ED93" s="18"/>
      <c r="EE93" s="18"/>
      <c r="EF93" s="18"/>
      <c r="EG93" s="18"/>
      <c r="EH93" s="18"/>
      <c r="EI93" s="18"/>
      <c r="EJ93" s="18"/>
      <c r="EK93" s="18"/>
      <c r="EL93" s="18"/>
      <c r="EM93" s="18"/>
      <c r="EN93" s="18"/>
      <c r="EO93" s="18"/>
      <c r="EP93" s="18"/>
      <c r="EQ93" s="18"/>
      <c r="ER93" s="18"/>
      <c r="ES93" s="18"/>
      <c r="ET93" s="18"/>
      <c r="EU93" s="18"/>
      <c r="EV93" s="18"/>
      <c r="EW93" s="18"/>
      <c r="EX93" s="18"/>
      <c r="EY93" s="18"/>
      <c r="EZ93" s="18"/>
      <c r="FA93" s="18"/>
      <c r="FB93" s="18"/>
      <c r="FC93" s="18"/>
      <c r="FD93" s="18"/>
      <c r="FE93" s="18"/>
      <c r="FF93" s="18"/>
      <c r="FG93" s="18"/>
      <c r="FH93" s="18"/>
      <c r="FI93" s="18"/>
      <c r="FJ93" s="18"/>
      <c r="FK93" s="18"/>
      <c r="FL93" s="18"/>
      <c r="FM93" s="18"/>
      <c r="FN93" s="18"/>
      <c r="FO93" s="18"/>
    </row>
    <row r="94" ht="15.75" customHeight="1">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c r="AA94" s="21"/>
      <c r="AB94" s="21"/>
      <c r="AC94" s="21"/>
      <c r="AD94" s="21"/>
      <c r="AE94" s="21"/>
      <c r="AF94" s="21"/>
      <c r="AG94" s="21"/>
      <c r="AH94" s="21"/>
      <c r="AI94" s="21"/>
      <c r="AJ94" s="21"/>
      <c r="AK94" s="21"/>
      <c r="AL94" s="21"/>
      <c r="AM94" s="21"/>
      <c r="AN94" s="21"/>
      <c r="AO94" s="21"/>
      <c r="AP94" s="21"/>
      <c r="AQ94" s="21"/>
      <c r="AR94" s="21"/>
      <c r="AS94" s="21"/>
      <c r="AT94" s="21"/>
      <c r="AU94" s="21"/>
      <c r="AV94" s="21"/>
      <c r="AW94" s="21"/>
      <c r="AX94" s="21"/>
      <c r="AY94" s="21"/>
      <c r="AZ94" s="21"/>
      <c r="BA94" s="21"/>
      <c r="BB94" s="21"/>
      <c r="BC94" s="21"/>
      <c r="BD94" s="21"/>
      <c r="BE94" s="21"/>
      <c r="BF94" s="21"/>
      <c r="BG94" s="21"/>
      <c r="BH94" s="21"/>
      <c r="BI94" s="21"/>
      <c r="BJ94" s="21"/>
      <c r="BK94" s="21"/>
      <c r="BL94" s="21"/>
      <c r="BM94" s="21"/>
      <c r="BN94" s="21"/>
      <c r="BO94" s="21"/>
      <c r="BP94" s="21"/>
      <c r="BQ94" s="21"/>
      <c r="BR94" s="21"/>
      <c r="BS94" s="21"/>
      <c r="BT94" s="21"/>
      <c r="BU94" s="21"/>
      <c r="BV94" s="21"/>
      <c r="BW94" s="21"/>
      <c r="BX94" s="21"/>
      <c r="BY94" s="21"/>
      <c r="BZ94" s="21"/>
      <c r="CA94" s="21"/>
      <c r="CB94" s="21"/>
      <c r="CC94" s="21"/>
      <c r="CD94" s="21"/>
      <c r="CE94" s="21"/>
      <c r="CF94" s="21"/>
      <c r="CG94" s="21"/>
      <c r="CH94" s="21"/>
      <c r="CI94" s="21"/>
      <c r="CJ94" s="21"/>
      <c r="CK94" s="21"/>
      <c r="CL94" s="21"/>
      <c r="CM94" s="21"/>
      <c r="CN94" s="21"/>
      <c r="CO94" s="21"/>
      <c r="CP94" s="21"/>
      <c r="CQ94" s="21"/>
      <c r="CR94" s="21"/>
      <c r="CS94" s="21"/>
      <c r="CT94" s="21"/>
      <c r="CU94" s="21"/>
      <c r="CV94" s="21"/>
      <c r="CW94" s="21"/>
      <c r="CX94" s="21"/>
      <c r="CY94" s="21"/>
      <c r="CZ94" s="21"/>
      <c r="DA94" s="21"/>
      <c r="DB94" s="21"/>
      <c r="DC94" s="21"/>
      <c r="DD94" s="21"/>
      <c r="DE94" s="21"/>
      <c r="DF94" s="18"/>
      <c r="DG94" s="18"/>
      <c r="DH94" s="18"/>
      <c r="DI94" s="18"/>
      <c r="DJ94" s="18"/>
      <c r="DK94" s="18"/>
      <c r="DL94" s="18"/>
      <c r="DM94" s="18"/>
      <c r="DN94" s="18"/>
      <c r="DO94" s="18"/>
      <c r="DP94" s="18"/>
      <c r="DQ94" s="18"/>
      <c r="DR94" s="18"/>
      <c r="DS94" s="18"/>
      <c r="DT94" s="18"/>
      <c r="DU94" s="18"/>
      <c r="DV94" s="18"/>
      <c r="DW94" s="18"/>
      <c r="DX94" s="18"/>
      <c r="DY94" s="18"/>
      <c r="DZ94" s="18"/>
      <c r="EA94" s="18"/>
      <c r="EB94" s="18"/>
      <c r="EC94" s="18"/>
      <c r="ED94" s="18"/>
      <c r="EE94" s="18"/>
      <c r="EF94" s="18"/>
      <c r="EG94" s="18"/>
      <c r="EH94" s="18"/>
      <c r="EI94" s="18"/>
      <c r="EJ94" s="18"/>
      <c r="EK94" s="18"/>
      <c r="EL94" s="18"/>
      <c r="EM94" s="18"/>
      <c r="EN94" s="18"/>
      <c r="EO94" s="18"/>
      <c r="EP94" s="18"/>
      <c r="EQ94" s="18"/>
      <c r="ER94" s="18"/>
      <c r="ES94" s="18"/>
      <c r="ET94" s="18"/>
      <c r="EU94" s="18"/>
      <c r="EV94" s="18"/>
      <c r="EW94" s="18"/>
      <c r="EX94" s="18"/>
      <c r="EY94" s="18"/>
      <c r="EZ94" s="18"/>
      <c r="FA94" s="18"/>
      <c r="FB94" s="18"/>
      <c r="FC94" s="18"/>
      <c r="FD94" s="18"/>
      <c r="FE94" s="18"/>
      <c r="FF94" s="18"/>
      <c r="FG94" s="18"/>
      <c r="FH94" s="18"/>
      <c r="FI94" s="18"/>
      <c r="FJ94" s="18"/>
      <c r="FK94" s="18"/>
      <c r="FL94" s="18"/>
      <c r="FM94" s="18"/>
      <c r="FN94" s="18"/>
      <c r="FO94" s="18"/>
    </row>
    <row r="95" ht="15.75" customHeight="1">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c r="AA95" s="21"/>
      <c r="AB95" s="21"/>
      <c r="AC95" s="21"/>
      <c r="AD95" s="21"/>
      <c r="AE95" s="21"/>
      <c r="AF95" s="21"/>
      <c r="AG95" s="21"/>
      <c r="AH95" s="21"/>
      <c r="AI95" s="21"/>
      <c r="AJ95" s="21"/>
      <c r="AK95" s="21"/>
      <c r="AL95" s="21"/>
      <c r="AM95" s="21"/>
      <c r="AN95" s="21"/>
      <c r="AO95" s="21"/>
      <c r="AP95" s="21"/>
      <c r="AQ95" s="21"/>
      <c r="AR95" s="21"/>
      <c r="AS95" s="21"/>
      <c r="AT95" s="21"/>
      <c r="AU95" s="21"/>
      <c r="AV95" s="21"/>
      <c r="AW95" s="21"/>
      <c r="AX95" s="21"/>
      <c r="AY95" s="21"/>
      <c r="AZ95" s="21"/>
      <c r="BA95" s="21"/>
      <c r="BB95" s="21"/>
      <c r="BC95" s="21"/>
      <c r="BD95" s="21"/>
      <c r="BE95" s="21"/>
      <c r="BF95" s="21"/>
      <c r="BG95" s="21"/>
      <c r="BH95" s="21"/>
      <c r="BI95" s="21"/>
      <c r="BJ95" s="21"/>
      <c r="BK95" s="21"/>
      <c r="BL95" s="21"/>
      <c r="BM95" s="21"/>
      <c r="BN95" s="21"/>
      <c r="BO95" s="21"/>
      <c r="BP95" s="21"/>
      <c r="BQ95" s="21"/>
      <c r="BR95" s="21"/>
      <c r="BS95" s="21"/>
      <c r="BT95" s="21"/>
      <c r="BU95" s="21"/>
      <c r="BV95" s="21"/>
      <c r="BW95" s="21"/>
      <c r="BX95" s="21"/>
      <c r="BY95" s="21"/>
      <c r="BZ95" s="21"/>
      <c r="CA95" s="21"/>
      <c r="CB95" s="21"/>
      <c r="CC95" s="21"/>
      <c r="CD95" s="21"/>
      <c r="CE95" s="21"/>
      <c r="CF95" s="21"/>
      <c r="CG95" s="21"/>
      <c r="CH95" s="21"/>
      <c r="CI95" s="21"/>
      <c r="CJ95" s="21"/>
      <c r="CK95" s="21"/>
      <c r="CL95" s="21"/>
      <c r="CM95" s="21"/>
      <c r="CN95" s="21"/>
      <c r="CO95" s="21"/>
      <c r="CP95" s="21"/>
      <c r="CQ95" s="21"/>
      <c r="CR95" s="21"/>
      <c r="CS95" s="21"/>
      <c r="CT95" s="21"/>
      <c r="CU95" s="21"/>
      <c r="CV95" s="21"/>
      <c r="CW95" s="21"/>
      <c r="CX95" s="21"/>
      <c r="CY95" s="21"/>
      <c r="CZ95" s="21"/>
      <c r="DA95" s="21"/>
      <c r="DB95" s="21"/>
      <c r="DC95" s="21"/>
      <c r="DD95" s="21"/>
      <c r="DE95" s="21"/>
      <c r="DF95" s="18"/>
      <c r="DG95" s="18"/>
      <c r="DH95" s="18"/>
      <c r="DI95" s="18"/>
      <c r="DJ95" s="18"/>
      <c r="DK95" s="18"/>
      <c r="DL95" s="18"/>
      <c r="DM95" s="18"/>
      <c r="DN95" s="18"/>
      <c r="DO95" s="18"/>
      <c r="DP95" s="18"/>
      <c r="DQ95" s="18"/>
      <c r="DR95" s="18"/>
      <c r="DS95" s="18"/>
      <c r="DT95" s="18"/>
      <c r="DU95" s="18"/>
      <c r="DV95" s="18"/>
      <c r="DW95" s="18"/>
      <c r="DX95" s="18"/>
      <c r="DY95" s="18"/>
      <c r="DZ95" s="18"/>
      <c r="EA95" s="18"/>
      <c r="EB95" s="18"/>
      <c r="EC95" s="18"/>
      <c r="ED95" s="18"/>
      <c r="EE95" s="18"/>
      <c r="EF95" s="18"/>
      <c r="EG95" s="18"/>
      <c r="EH95" s="18"/>
      <c r="EI95" s="18"/>
      <c r="EJ95" s="18"/>
      <c r="EK95" s="18"/>
      <c r="EL95" s="18"/>
      <c r="EM95" s="18"/>
      <c r="EN95" s="18"/>
      <c r="EO95" s="18"/>
      <c r="EP95" s="18"/>
      <c r="EQ95" s="18"/>
      <c r="ER95" s="18"/>
      <c r="ES95" s="18"/>
      <c r="ET95" s="18"/>
      <c r="EU95" s="18"/>
      <c r="EV95" s="18"/>
      <c r="EW95" s="18"/>
      <c r="EX95" s="18"/>
      <c r="EY95" s="18"/>
      <c r="EZ95" s="18"/>
      <c r="FA95" s="18"/>
      <c r="FB95" s="18"/>
      <c r="FC95" s="18"/>
      <c r="FD95" s="18"/>
      <c r="FE95" s="18"/>
      <c r="FF95" s="18"/>
      <c r="FG95" s="18"/>
      <c r="FH95" s="18"/>
      <c r="FI95" s="18"/>
      <c r="FJ95" s="18"/>
      <c r="FK95" s="18"/>
      <c r="FL95" s="18"/>
      <c r="FM95" s="18"/>
      <c r="FN95" s="18"/>
      <c r="FO95" s="18"/>
    </row>
    <row r="96" ht="15.75" customHeight="1">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c r="AA96" s="21"/>
      <c r="AB96" s="21"/>
      <c r="AC96" s="21"/>
      <c r="AD96" s="21"/>
      <c r="AE96" s="21"/>
      <c r="AF96" s="21"/>
      <c r="AG96" s="21"/>
      <c r="AH96" s="21"/>
      <c r="AI96" s="21"/>
      <c r="AJ96" s="21"/>
      <c r="AK96" s="21"/>
      <c r="AL96" s="21"/>
      <c r="AM96" s="21"/>
      <c r="AN96" s="21"/>
      <c r="AO96" s="21"/>
      <c r="AP96" s="21"/>
      <c r="AQ96" s="21"/>
      <c r="AR96" s="21"/>
      <c r="AS96" s="21"/>
      <c r="AT96" s="21"/>
      <c r="AU96" s="21"/>
      <c r="AV96" s="21"/>
      <c r="AW96" s="21"/>
      <c r="AX96" s="21"/>
      <c r="AY96" s="21"/>
      <c r="AZ96" s="21"/>
      <c r="BA96" s="21"/>
      <c r="BB96" s="21"/>
      <c r="BC96" s="21"/>
      <c r="BD96" s="21"/>
      <c r="BE96" s="21"/>
      <c r="BF96" s="21"/>
      <c r="BG96" s="21"/>
      <c r="BH96" s="21"/>
      <c r="BI96" s="21"/>
      <c r="BJ96" s="21"/>
      <c r="BK96" s="21"/>
      <c r="BL96" s="21"/>
      <c r="BM96" s="21"/>
      <c r="BN96" s="21"/>
      <c r="BO96" s="21"/>
      <c r="BP96" s="21"/>
      <c r="BQ96" s="21"/>
      <c r="BR96" s="21"/>
      <c r="BS96" s="21"/>
      <c r="BT96" s="21"/>
      <c r="BU96" s="21"/>
      <c r="BV96" s="21"/>
      <c r="BW96" s="21"/>
      <c r="BX96" s="21"/>
      <c r="BY96" s="21"/>
      <c r="BZ96" s="21"/>
      <c r="CA96" s="21"/>
      <c r="CB96" s="21"/>
      <c r="CC96" s="21"/>
      <c r="CD96" s="21"/>
      <c r="CE96" s="21"/>
      <c r="CF96" s="21"/>
      <c r="CG96" s="21"/>
      <c r="CH96" s="21"/>
      <c r="CI96" s="21"/>
      <c r="CJ96" s="21"/>
      <c r="CK96" s="21"/>
      <c r="CL96" s="21"/>
      <c r="CM96" s="21"/>
      <c r="CN96" s="21"/>
      <c r="CO96" s="21"/>
      <c r="CP96" s="21"/>
      <c r="CQ96" s="21"/>
      <c r="CR96" s="21"/>
      <c r="CS96" s="21"/>
      <c r="CT96" s="21"/>
      <c r="CU96" s="21"/>
      <c r="CV96" s="21"/>
      <c r="CW96" s="21"/>
      <c r="CX96" s="21"/>
      <c r="CY96" s="21"/>
      <c r="CZ96" s="21"/>
      <c r="DA96" s="21"/>
      <c r="DB96" s="21"/>
      <c r="DC96" s="21"/>
      <c r="DD96" s="21"/>
      <c r="DE96" s="21"/>
      <c r="DF96" s="18"/>
      <c r="DG96" s="18"/>
      <c r="DH96" s="18"/>
      <c r="DI96" s="18"/>
      <c r="DJ96" s="18"/>
      <c r="DK96" s="18"/>
      <c r="DL96" s="18"/>
      <c r="DM96" s="18"/>
      <c r="DN96" s="18"/>
      <c r="DO96" s="18"/>
      <c r="DP96" s="18"/>
      <c r="DQ96" s="18"/>
      <c r="DR96" s="18"/>
      <c r="DS96" s="18"/>
      <c r="DT96" s="18"/>
      <c r="DU96" s="18"/>
      <c r="DV96" s="18"/>
      <c r="DW96" s="18"/>
      <c r="DX96" s="18"/>
      <c r="DY96" s="18"/>
      <c r="DZ96" s="18"/>
      <c r="EA96" s="18"/>
      <c r="EB96" s="18"/>
      <c r="EC96" s="18"/>
      <c r="ED96" s="18"/>
      <c r="EE96" s="18"/>
      <c r="EF96" s="18"/>
      <c r="EG96" s="18"/>
      <c r="EH96" s="18"/>
      <c r="EI96" s="18"/>
      <c r="EJ96" s="18"/>
      <c r="EK96" s="18"/>
      <c r="EL96" s="18"/>
      <c r="EM96" s="18"/>
      <c r="EN96" s="18"/>
      <c r="EO96" s="18"/>
      <c r="EP96" s="18"/>
      <c r="EQ96" s="18"/>
      <c r="ER96" s="18"/>
      <c r="ES96" s="18"/>
      <c r="ET96" s="18"/>
      <c r="EU96" s="18"/>
      <c r="EV96" s="18"/>
      <c r="EW96" s="18"/>
      <c r="EX96" s="18"/>
      <c r="EY96" s="18"/>
      <c r="EZ96" s="18"/>
      <c r="FA96" s="18"/>
      <c r="FB96" s="18"/>
      <c r="FC96" s="18"/>
      <c r="FD96" s="18"/>
      <c r="FE96" s="18"/>
      <c r="FF96" s="18"/>
      <c r="FG96" s="18"/>
      <c r="FH96" s="18"/>
      <c r="FI96" s="18"/>
      <c r="FJ96" s="18"/>
      <c r="FK96" s="18"/>
      <c r="FL96" s="18"/>
      <c r="FM96" s="18"/>
      <c r="FN96" s="18"/>
      <c r="FO96" s="18"/>
    </row>
    <row r="97" ht="15.75" customHeight="1">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c r="AA97" s="21"/>
      <c r="AB97" s="21"/>
      <c r="AC97" s="21"/>
      <c r="AD97" s="21"/>
      <c r="AE97" s="21"/>
      <c r="AF97" s="21"/>
      <c r="AG97" s="21"/>
      <c r="AH97" s="21"/>
      <c r="AI97" s="21"/>
      <c r="AJ97" s="21"/>
      <c r="AK97" s="21"/>
      <c r="AL97" s="21"/>
      <c r="AM97" s="21"/>
      <c r="AN97" s="21"/>
      <c r="AO97" s="21"/>
      <c r="AP97" s="21"/>
      <c r="AQ97" s="21"/>
      <c r="AR97" s="21"/>
      <c r="AS97" s="21"/>
      <c r="AT97" s="21"/>
      <c r="AU97" s="21"/>
      <c r="AV97" s="21"/>
      <c r="AW97" s="21"/>
      <c r="AX97" s="21"/>
      <c r="AY97" s="21"/>
      <c r="AZ97" s="21"/>
      <c r="BA97" s="21"/>
      <c r="BB97" s="21"/>
      <c r="BC97" s="21"/>
      <c r="BD97" s="21"/>
      <c r="BE97" s="21"/>
      <c r="BF97" s="21"/>
      <c r="BG97" s="21"/>
      <c r="BH97" s="21"/>
      <c r="BI97" s="21"/>
      <c r="BJ97" s="21"/>
      <c r="BK97" s="21"/>
      <c r="BL97" s="21"/>
      <c r="BM97" s="21"/>
      <c r="BN97" s="21"/>
      <c r="BO97" s="21"/>
      <c r="BP97" s="21"/>
      <c r="BQ97" s="21"/>
      <c r="BR97" s="21"/>
      <c r="BS97" s="21"/>
      <c r="BT97" s="21"/>
      <c r="BU97" s="21"/>
      <c r="BV97" s="21"/>
      <c r="BW97" s="21"/>
      <c r="BX97" s="21"/>
      <c r="BY97" s="21"/>
      <c r="BZ97" s="21"/>
      <c r="CA97" s="21"/>
      <c r="CB97" s="21"/>
      <c r="CC97" s="21"/>
      <c r="CD97" s="21"/>
      <c r="CE97" s="21"/>
      <c r="CF97" s="21"/>
      <c r="CG97" s="21"/>
      <c r="CH97" s="21"/>
      <c r="CI97" s="21"/>
      <c r="CJ97" s="21"/>
      <c r="CK97" s="21"/>
      <c r="CL97" s="21"/>
      <c r="CM97" s="21"/>
      <c r="CN97" s="21"/>
      <c r="CO97" s="21"/>
      <c r="CP97" s="21"/>
      <c r="CQ97" s="21"/>
      <c r="CR97" s="21"/>
      <c r="CS97" s="21"/>
      <c r="CT97" s="21"/>
      <c r="CU97" s="21"/>
      <c r="CV97" s="21"/>
      <c r="CW97" s="21"/>
      <c r="CX97" s="21"/>
      <c r="CY97" s="21"/>
      <c r="CZ97" s="21"/>
      <c r="DA97" s="21"/>
      <c r="DB97" s="21"/>
      <c r="DC97" s="21"/>
      <c r="DD97" s="21"/>
      <c r="DE97" s="21"/>
      <c r="DF97" s="18"/>
      <c r="DG97" s="18"/>
      <c r="DH97" s="18"/>
      <c r="DI97" s="18"/>
      <c r="DJ97" s="18"/>
      <c r="DK97" s="18"/>
      <c r="DL97" s="18"/>
      <c r="DM97" s="18"/>
      <c r="DN97" s="18"/>
      <c r="DO97" s="18"/>
      <c r="DP97" s="18"/>
      <c r="DQ97" s="18"/>
      <c r="DR97" s="18"/>
      <c r="DS97" s="18"/>
      <c r="DT97" s="18"/>
      <c r="DU97" s="18"/>
      <c r="DV97" s="18"/>
      <c r="DW97" s="18"/>
      <c r="DX97" s="18"/>
      <c r="DY97" s="18"/>
      <c r="DZ97" s="18"/>
      <c r="EA97" s="18"/>
      <c r="EB97" s="18"/>
      <c r="EC97" s="18"/>
      <c r="ED97" s="18"/>
      <c r="EE97" s="18"/>
      <c r="EF97" s="18"/>
      <c r="EG97" s="18"/>
      <c r="EH97" s="18"/>
      <c r="EI97" s="18"/>
      <c r="EJ97" s="18"/>
      <c r="EK97" s="18"/>
      <c r="EL97" s="18"/>
      <c r="EM97" s="18"/>
      <c r="EN97" s="18"/>
      <c r="EO97" s="18"/>
      <c r="EP97" s="18"/>
      <c r="EQ97" s="18"/>
      <c r="ER97" s="18"/>
      <c r="ES97" s="18"/>
      <c r="ET97" s="18"/>
      <c r="EU97" s="18"/>
      <c r="EV97" s="18"/>
      <c r="EW97" s="18"/>
      <c r="EX97" s="18"/>
      <c r="EY97" s="18"/>
      <c r="EZ97" s="18"/>
      <c r="FA97" s="18"/>
      <c r="FB97" s="18"/>
      <c r="FC97" s="18"/>
      <c r="FD97" s="18"/>
      <c r="FE97" s="18"/>
      <c r="FF97" s="18"/>
      <c r="FG97" s="18"/>
      <c r="FH97" s="18"/>
      <c r="FI97" s="18"/>
      <c r="FJ97" s="18"/>
      <c r="FK97" s="18"/>
      <c r="FL97" s="18"/>
      <c r="FM97" s="18"/>
      <c r="FN97" s="18"/>
      <c r="FO97" s="18"/>
    </row>
    <row r="98" ht="15.75" customHeight="1">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c r="AA98" s="21"/>
      <c r="AB98" s="21"/>
      <c r="AC98" s="21"/>
      <c r="AD98" s="21"/>
      <c r="AE98" s="21"/>
      <c r="AF98" s="21"/>
      <c r="AG98" s="21"/>
      <c r="AH98" s="21"/>
      <c r="AI98" s="21"/>
      <c r="AJ98" s="21"/>
      <c r="AK98" s="21"/>
      <c r="AL98" s="21"/>
      <c r="AM98" s="21"/>
      <c r="AN98" s="21"/>
      <c r="AO98" s="21"/>
      <c r="AP98" s="21"/>
      <c r="AQ98" s="21"/>
      <c r="AR98" s="21"/>
      <c r="AS98" s="21"/>
      <c r="AT98" s="21"/>
      <c r="AU98" s="21"/>
      <c r="AV98" s="21"/>
      <c r="AW98" s="21"/>
      <c r="AX98" s="21"/>
      <c r="AY98" s="21"/>
      <c r="AZ98" s="21"/>
      <c r="BA98" s="21"/>
      <c r="BB98" s="21"/>
      <c r="BC98" s="21"/>
      <c r="BD98" s="21"/>
      <c r="BE98" s="21"/>
      <c r="BF98" s="21"/>
      <c r="BG98" s="21"/>
      <c r="BH98" s="21"/>
      <c r="BI98" s="21"/>
      <c r="BJ98" s="21"/>
      <c r="BK98" s="21"/>
      <c r="BL98" s="21"/>
      <c r="BM98" s="21"/>
      <c r="BN98" s="21"/>
      <c r="BO98" s="21"/>
      <c r="BP98" s="21"/>
      <c r="BQ98" s="21"/>
      <c r="BR98" s="21"/>
      <c r="BS98" s="21"/>
      <c r="BT98" s="21"/>
      <c r="BU98" s="21"/>
      <c r="BV98" s="21"/>
      <c r="BW98" s="21"/>
      <c r="BX98" s="21"/>
      <c r="BY98" s="21"/>
      <c r="BZ98" s="21"/>
      <c r="CA98" s="21"/>
      <c r="CB98" s="21"/>
      <c r="CC98" s="21"/>
      <c r="CD98" s="21"/>
      <c r="CE98" s="21"/>
      <c r="CF98" s="21"/>
      <c r="CG98" s="21"/>
      <c r="CH98" s="21"/>
      <c r="CI98" s="21"/>
      <c r="CJ98" s="21"/>
      <c r="CK98" s="21"/>
      <c r="CL98" s="21"/>
      <c r="CM98" s="21"/>
      <c r="CN98" s="21"/>
      <c r="CO98" s="21"/>
      <c r="CP98" s="21"/>
      <c r="CQ98" s="21"/>
      <c r="CR98" s="21"/>
      <c r="CS98" s="21"/>
      <c r="CT98" s="21"/>
      <c r="CU98" s="21"/>
      <c r="CV98" s="21"/>
      <c r="CW98" s="21"/>
      <c r="CX98" s="21"/>
      <c r="CY98" s="21"/>
      <c r="CZ98" s="21"/>
      <c r="DA98" s="21"/>
      <c r="DB98" s="21"/>
      <c r="DC98" s="21"/>
      <c r="DD98" s="21"/>
      <c r="DE98" s="21"/>
      <c r="DF98" s="18"/>
      <c r="DG98" s="18"/>
      <c r="DH98" s="18"/>
      <c r="DI98" s="18"/>
      <c r="DJ98" s="18"/>
      <c r="DK98" s="18"/>
      <c r="DL98" s="18"/>
      <c r="DM98" s="18"/>
      <c r="DN98" s="18"/>
      <c r="DO98" s="18"/>
      <c r="DP98" s="18"/>
      <c r="DQ98" s="18"/>
      <c r="DR98" s="18"/>
      <c r="DS98" s="18"/>
      <c r="DT98" s="18"/>
      <c r="DU98" s="18"/>
      <c r="DV98" s="18"/>
      <c r="DW98" s="18"/>
      <c r="DX98" s="18"/>
      <c r="DY98" s="18"/>
      <c r="DZ98" s="18"/>
      <c r="EA98" s="18"/>
      <c r="EB98" s="18"/>
      <c r="EC98" s="18"/>
      <c r="ED98" s="18"/>
      <c r="EE98" s="18"/>
      <c r="EF98" s="18"/>
      <c r="EG98" s="18"/>
      <c r="EH98" s="18"/>
      <c r="EI98" s="18"/>
      <c r="EJ98" s="18"/>
      <c r="EK98" s="18"/>
      <c r="EL98" s="18"/>
      <c r="EM98" s="18"/>
      <c r="EN98" s="18"/>
      <c r="EO98" s="18"/>
      <c r="EP98" s="18"/>
      <c r="EQ98" s="18"/>
      <c r="ER98" s="18"/>
      <c r="ES98" s="18"/>
      <c r="ET98" s="18"/>
      <c r="EU98" s="18"/>
      <c r="EV98" s="18"/>
      <c r="EW98" s="18"/>
      <c r="EX98" s="18"/>
      <c r="EY98" s="18"/>
      <c r="EZ98" s="18"/>
      <c r="FA98" s="18"/>
      <c r="FB98" s="18"/>
      <c r="FC98" s="18"/>
      <c r="FD98" s="18"/>
      <c r="FE98" s="18"/>
      <c r="FF98" s="18"/>
      <c r="FG98" s="18"/>
      <c r="FH98" s="18"/>
      <c r="FI98" s="18"/>
      <c r="FJ98" s="18"/>
      <c r="FK98" s="18"/>
      <c r="FL98" s="18"/>
      <c r="FM98" s="18"/>
      <c r="FN98" s="18"/>
      <c r="FO98" s="18"/>
    </row>
    <row r="99" ht="15.75" customHeight="1">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c r="AA99" s="21"/>
      <c r="AB99" s="21"/>
      <c r="AC99" s="21"/>
      <c r="AD99" s="21"/>
      <c r="AE99" s="21"/>
      <c r="AF99" s="21"/>
      <c r="AG99" s="21"/>
      <c r="AH99" s="21"/>
      <c r="AI99" s="21"/>
      <c r="AJ99" s="21"/>
      <c r="AK99" s="21"/>
      <c r="AL99" s="21"/>
      <c r="AM99" s="21"/>
      <c r="AN99" s="21"/>
      <c r="AO99" s="21"/>
      <c r="AP99" s="21"/>
      <c r="AQ99" s="21"/>
      <c r="AR99" s="21"/>
      <c r="AS99" s="21"/>
      <c r="AT99" s="21"/>
      <c r="AU99" s="21"/>
      <c r="AV99" s="21"/>
      <c r="AW99" s="21"/>
      <c r="AX99" s="21"/>
      <c r="AY99" s="21"/>
      <c r="AZ99" s="21"/>
      <c r="BA99" s="21"/>
      <c r="BB99" s="21"/>
      <c r="BC99" s="21"/>
      <c r="BD99" s="21"/>
      <c r="BE99" s="21"/>
      <c r="BF99" s="21"/>
      <c r="BG99" s="21"/>
      <c r="BH99" s="21"/>
      <c r="BI99" s="21"/>
      <c r="BJ99" s="21"/>
      <c r="BK99" s="21"/>
      <c r="BL99" s="21"/>
      <c r="BM99" s="21"/>
      <c r="BN99" s="21"/>
      <c r="BO99" s="21"/>
      <c r="BP99" s="21"/>
      <c r="BQ99" s="21"/>
      <c r="BR99" s="21"/>
      <c r="BS99" s="21"/>
      <c r="BT99" s="21"/>
      <c r="BU99" s="21"/>
      <c r="BV99" s="21"/>
      <c r="BW99" s="21"/>
      <c r="BX99" s="21"/>
      <c r="BY99" s="21"/>
      <c r="BZ99" s="21"/>
      <c r="CA99" s="21"/>
      <c r="CB99" s="21"/>
      <c r="CC99" s="21"/>
      <c r="CD99" s="21"/>
      <c r="CE99" s="21"/>
      <c r="CF99" s="21"/>
      <c r="CG99" s="21"/>
      <c r="CH99" s="21"/>
      <c r="CI99" s="21"/>
      <c r="CJ99" s="21"/>
      <c r="CK99" s="21"/>
      <c r="CL99" s="21"/>
      <c r="CM99" s="21"/>
      <c r="CN99" s="21"/>
      <c r="CO99" s="21"/>
      <c r="CP99" s="21"/>
      <c r="CQ99" s="21"/>
      <c r="CR99" s="21"/>
      <c r="CS99" s="21"/>
      <c r="CT99" s="21"/>
      <c r="CU99" s="21"/>
      <c r="CV99" s="21"/>
      <c r="CW99" s="21"/>
      <c r="CX99" s="21"/>
      <c r="CY99" s="21"/>
      <c r="CZ99" s="21"/>
      <c r="DA99" s="21"/>
      <c r="DB99" s="21"/>
      <c r="DC99" s="21"/>
      <c r="DD99" s="21"/>
      <c r="DE99" s="21"/>
      <c r="DF99" s="18"/>
      <c r="DG99" s="18"/>
      <c r="DH99" s="18"/>
      <c r="DI99" s="18"/>
      <c r="DJ99" s="18"/>
      <c r="DK99" s="18"/>
      <c r="DL99" s="18"/>
      <c r="DM99" s="18"/>
      <c r="DN99" s="18"/>
      <c r="DO99" s="18"/>
      <c r="DP99" s="18"/>
      <c r="DQ99" s="18"/>
      <c r="DR99" s="18"/>
      <c r="DS99" s="18"/>
      <c r="DT99" s="18"/>
      <c r="DU99" s="18"/>
      <c r="DV99" s="18"/>
      <c r="DW99" s="18"/>
      <c r="DX99" s="18"/>
      <c r="DY99" s="18"/>
      <c r="DZ99" s="18"/>
      <c r="EA99" s="18"/>
      <c r="EB99" s="18"/>
      <c r="EC99" s="18"/>
      <c r="ED99" s="18"/>
      <c r="EE99" s="18"/>
      <c r="EF99" s="18"/>
      <c r="EG99" s="18"/>
      <c r="EH99" s="18"/>
      <c r="EI99" s="18"/>
      <c r="EJ99" s="18"/>
      <c r="EK99" s="18"/>
      <c r="EL99" s="18"/>
      <c r="EM99" s="18"/>
      <c r="EN99" s="18"/>
      <c r="EO99" s="18"/>
      <c r="EP99" s="18"/>
      <c r="EQ99" s="18"/>
      <c r="ER99" s="18"/>
      <c r="ES99" s="18"/>
      <c r="ET99" s="18"/>
      <c r="EU99" s="18"/>
      <c r="EV99" s="18"/>
      <c r="EW99" s="18"/>
      <c r="EX99" s="18"/>
      <c r="EY99" s="18"/>
      <c r="EZ99" s="18"/>
      <c r="FA99" s="18"/>
      <c r="FB99" s="18"/>
      <c r="FC99" s="18"/>
      <c r="FD99" s="18"/>
      <c r="FE99" s="18"/>
      <c r="FF99" s="18"/>
      <c r="FG99" s="18"/>
      <c r="FH99" s="18"/>
      <c r="FI99" s="18"/>
      <c r="FJ99" s="18"/>
      <c r="FK99" s="18"/>
      <c r="FL99" s="18"/>
      <c r="FM99" s="18"/>
      <c r="FN99" s="18"/>
      <c r="FO99" s="18"/>
    </row>
    <row r="100" ht="15.75" customHeight="1">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c r="AA100" s="21"/>
      <c r="AB100" s="21"/>
      <c r="AC100" s="21"/>
      <c r="AD100" s="21"/>
      <c r="AE100" s="21"/>
      <c r="AF100" s="21"/>
      <c r="AG100" s="21"/>
      <c r="AH100" s="21"/>
      <c r="AI100" s="21"/>
      <c r="AJ100" s="21"/>
      <c r="AK100" s="21"/>
      <c r="AL100" s="21"/>
      <c r="AM100" s="21"/>
      <c r="AN100" s="21"/>
      <c r="AO100" s="21"/>
      <c r="AP100" s="21"/>
      <c r="AQ100" s="21"/>
      <c r="AR100" s="21"/>
      <c r="AS100" s="21"/>
      <c r="AT100" s="21"/>
      <c r="AU100" s="21"/>
      <c r="AV100" s="21"/>
      <c r="AW100" s="21"/>
      <c r="AX100" s="21"/>
      <c r="AY100" s="21"/>
      <c r="AZ100" s="21"/>
      <c r="BA100" s="21"/>
      <c r="BB100" s="21"/>
      <c r="BC100" s="21"/>
      <c r="BD100" s="21"/>
      <c r="BE100" s="21"/>
      <c r="BF100" s="21"/>
      <c r="BG100" s="21"/>
      <c r="BH100" s="21"/>
      <c r="BI100" s="21"/>
      <c r="BJ100" s="21"/>
      <c r="BK100" s="21"/>
      <c r="BL100" s="21"/>
      <c r="BM100" s="21"/>
      <c r="BN100" s="21"/>
      <c r="BO100" s="21"/>
      <c r="BP100" s="21"/>
      <c r="BQ100" s="21"/>
      <c r="BR100" s="21"/>
      <c r="BS100" s="21"/>
      <c r="BT100" s="21"/>
      <c r="BU100" s="21"/>
      <c r="BV100" s="21"/>
      <c r="BW100" s="21"/>
      <c r="BX100" s="21"/>
      <c r="BY100" s="21"/>
      <c r="BZ100" s="21"/>
      <c r="CA100" s="21"/>
      <c r="CB100" s="21"/>
      <c r="CC100" s="21"/>
      <c r="CD100" s="21"/>
      <c r="CE100" s="21"/>
      <c r="CF100" s="21"/>
      <c r="CG100" s="21"/>
      <c r="CH100" s="21"/>
      <c r="CI100" s="21"/>
      <c r="CJ100" s="21"/>
      <c r="CK100" s="21"/>
      <c r="CL100" s="21"/>
      <c r="CM100" s="21"/>
      <c r="CN100" s="21"/>
      <c r="CO100" s="21"/>
      <c r="CP100" s="21"/>
      <c r="CQ100" s="21"/>
      <c r="CR100" s="21"/>
      <c r="CS100" s="21"/>
      <c r="CT100" s="21"/>
      <c r="CU100" s="21"/>
      <c r="CV100" s="21"/>
      <c r="CW100" s="21"/>
      <c r="CX100" s="21"/>
      <c r="CY100" s="21"/>
      <c r="CZ100" s="21"/>
      <c r="DA100" s="21"/>
      <c r="DB100" s="21"/>
      <c r="DC100" s="21"/>
      <c r="DD100" s="21"/>
      <c r="DE100" s="21"/>
      <c r="DF100" s="18"/>
      <c r="DG100" s="18"/>
      <c r="DH100" s="18"/>
      <c r="DI100" s="18"/>
      <c r="DJ100" s="18"/>
      <c r="DK100" s="18"/>
      <c r="DL100" s="18"/>
      <c r="DM100" s="18"/>
      <c r="DN100" s="18"/>
      <c r="DO100" s="18"/>
      <c r="DP100" s="18"/>
      <c r="DQ100" s="18"/>
      <c r="DR100" s="18"/>
      <c r="DS100" s="18"/>
      <c r="DT100" s="18"/>
      <c r="DU100" s="18"/>
      <c r="DV100" s="18"/>
      <c r="DW100" s="18"/>
      <c r="DX100" s="18"/>
      <c r="DY100" s="18"/>
      <c r="DZ100" s="18"/>
      <c r="EA100" s="18"/>
      <c r="EB100" s="18"/>
      <c r="EC100" s="18"/>
      <c r="ED100" s="18"/>
      <c r="EE100" s="18"/>
      <c r="EF100" s="18"/>
      <c r="EG100" s="18"/>
      <c r="EH100" s="18"/>
      <c r="EI100" s="18"/>
      <c r="EJ100" s="18"/>
      <c r="EK100" s="18"/>
      <c r="EL100" s="18"/>
      <c r="EM100" s="18"/>
      <c r="EN100" s="18"/>
      <c r="EO100" s="18"/>
      <c r="EP100" s="18"/>
      <c r="EQ100" s="18"/>
      <c r="ER100" s="18"/>
      <c r="ES100" s="18"/>
      <c r="ET100" s="18"/>
      <c r="EU100" s="18"/>
      <c r="EV100" s="18"/>
      <c r="EW100" s="18"/>
      <c r="EX100" s="18"/>
      <c r="EY100" s="18"/>
      <c r="EZ100" s="18"/>
      <c r="FA100" s="18"/>
      <c r="FB100" s="18"/>
      <c r="FC100" s="18"/>
      <c r="FD100" s="18"/>
      <c r="FE100" s="18"/>
      <c r="FF100" s="18"/>
      <c r="FG100" s="18"/>
      <c r="FH100" s="18"/>
      <c r="FI100" s="18"/>
      <c r="FJ100" s="18"/>
      <c r="FK100" s="18"/>
      <c r="FL100" s="18"/>
      <c r="FM100" s="18"/>
      <c r="FN100" s="18"/>
      <c r="FO100" s="18"/>
    </row>
    <row r="101" ht="15.75" customHeight="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c r="AA101" s="21"/>
      <c r="AB101" s="21"/>
      <c r="AC101" s="21"/>
      <c r="AD101" s="21"/>
      <c r="AE101" s="21"/>
      <c r="AF101" s="21"/>
      <c r="AG101" s="21"/>
      <c r="AH101" s="21"/>
      <c r="AI101" s="21"/>
      <c r="AJ101" s="21"/>
      <c r="AK101" s="21"/>
      <c r="AL101" s="21"/>
      <c r="AM101" s="21"/>
      <c r="AN101" s="21"/>
      <c r="AO101" s="21"/>
      <c r="AP101" s="21"/>
      <c r="AQ101" s="21"/>
      <c r="AR101" s="21"/>
      <c r="AS101" s="21"/>
      <c r="AT101" s="21"/>
      <c r="AU101" s="21"/>
      <c r="AV101" s="21"/>
      <c r="AW101" s="21"/>
      <c r="AX101" s="21"/>
      <c r="AY101" s="21"/>
      <c r="AZ101" s="21"/>
      <c r="BA101" s="21"/>
      <c r="BB101" s="21"/>
      <c r="BC101" s="21"/>
      <c r="BD101" s="21"/>
      <c r="BE101" s="21"/>
      <c r="BF101" s="21"/>
      <c r="BG101" s="21"/>
      <c r="BH101" s="21"/>
      <c r="BI101" s="21"/>
      <c r="BJ101" s="21"/>
      <c r="BK101" s="21"/>
      <c r="BL101" s="21"/>
      <c r="BM101" s="21"/>
      <c r="BN101" s="21"/>
      <c r="BO101" s="21"/>
      <c r="BP101" s="21"/>
      <c r="BQ101" s="21"/>
      <c r="BR101" s="21"/>
      <c r="BS101" s="21"/>
      <c r="BT101" s="21"/>
      <c r="BU101" s="21"/>
      <c r="BV101" s="21"/>
      <c r="BW101" s="21"/>
      <c r="BX101" s="21"/>
      <c r="BY101" s="21"/>
      <c r="BZ101" s="21"/>
      <c r="CA101" s="21"/>
      <c r="CB101" s="21"/>
      <c r="CC101" s="21"/>
      <c r="CD101" s="21"/>
      <c r="CE101" s="21"/>
      <c r="CF101" s="21"/>
      <c r="CG101" s="21"/>
      <c r="CH101" s="21"/>
      <c r="CI101" s="21"/>
      <c r="CJ101" s="21"/>
      <c r="CK101" s="21"/>
      <c r="CL101" s="21"/>
      <c r="CM101" s="21"/>
      <c r="CN101" s="21"/>
      <c r="CO101" s="21"/>
      <c r="CP101" s="21"/>
      <c r="CQ101" s="21"/>
      <c r="CR101" s="21"/>
      <c r="CS101" s="21"/>
      <c r="CT101" s="21"/>
      <c r="CU101" s="21"/>
      <c r="CV101" s="21"/>
      <c r="CW101" s="21"/>
      <c r="CX101" s="21"/>
      <c r="CY101" s="21"/>
      <c r="CZ101" s="21"/>
      <c r="DA101" s="21"/>
      <c r="DB101" s="21"/>
      <c r="DC101" s="21"/>
      <c r="DD101" s="21"/>
      <c r="DE101" s="21"/>
      <c r="DF101" s="18"/>
      <c r="DG101" s="18"/>
      <c r="DH101" s="18"/>
      <c r="DI101" s="18"/>
      <c r="DJ101" s="18"/>
      <c r="DK101" s="18"/>
      <c r="DL101" s="18"/>
      <c r="DM101" s="18"/>
      <c r="DN101" s="18"/>
      <c r="DO101" s="18"/>
      <c r="DP101" s="18"/>
      <c r="DQ101" s="18"/>
      <c r="DR101" s="18"/>
      <c r="DS101" s="18"/>
      <c r="DT101" s="18"/>
      <c r="DU101" s="18"/>
      <c r="DV101" s="18"/>
      <c r="DW101" s="18"/>
      <c r="DX101" s="18"/>
      <c r="DY101" s="18"/>
      <c r="DZ101" s="18"/>
      <c r="EA101" s="18"/>
      <c r="EB101" s="18"/>
      <c r="EC101" s="18"/>
      <c r="ED101" s="18"/>
      <c r="EE101" s="18"/>
      <c r="EF101" s="18"/>
      <c r="EG101" s="18"/>
      <c r="EH101" s="18"/>
      <c r="EI101" s="18"/>
      <c r="EJ101" s="18"/>
      <c r="EK101" s="18"/>
      <c r="EL101" s="18"/>
      <c r="EM101" s="18"/>
      <c r="EN101" s="18"/>
      <c r="EO101" s="18"/>
      <c r="EP101" s="18"/>
      <c r="EQ101" s="18"/>
      <c r="ER101" s="18"/>
      <c r="ES101" s="18"/>
      <c r="ET101" s="18"/>
      <c r="EU101" s="18"/>
      <c r="EV101" s="18"/>
      <c r="EW101" s="18"/>
      <c r="EX101" s="18"/>
      <c r="EY101" s="18"/>
      <c r="EZ101" s="18"/>
      <c r="FA101" s="18"/>
      <c r="FB101" s="18"/>
      <c r="FC101" s="18"/>
      <c r="FD101" s="18"/>
      <c r="FE101" s="18"/>
      <c r="FF101" s="18"/>
      <c r="FG101" s="18"/>
      <c r="FH101" s="18"/>
      <c r="FI101" s="18"/>
      <c r="FJ101" s="18"/>
      <c r="FK101" s="18"/>
      <c r="FL101" s="18"/>
      <c r="FM101" s="18"/>
      <c r="FN101" s="18"/>
      <c r="FO101" s="18"/>
    </row>
    <row r="102" ht="15.75" customHeight="1">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c r="AA102" s="21"/>
      <c r="AB102" s="21"/>
      <c r="AC102" s="21"/>
      <c r="AD102" s="21"/>
      <c r="AE102" s="21"/>
      <c r="AF102" s="21"/>
      <c r="AG102" s="21"/>
      <c r="AH102" s="21"/>
      <c r="AI102" s="21"/>
      <c r="AJ102" s="21"/>
      <c r="AK102" s="21"/>
      <c r="AL102" s="21"/>
      <c r="AM102" s="21"/>
      <c r="AN102" s="21"/>
      <c r="AO102" s="21"/>
      <c r="AP102" s="21"/>
      <c r="AQ102" s="21"/>
      <c r="AR102" s="21"/>
      <c r="AS102" s="21"/>
      <c r="AT102" s="21"/>
      <c r="AU102" s="21"/>
      <c r="AV102" s="21"/>
      <c r="AW102" s="21"/>
      <c r="AX102" s="21"/>
      <c r="AY102" s="21"/>
      <c r="AZ102" s="21"/>
      <c r="BA102" s="21"/>
      <c r="BB102" s="21"/>
      <c r="BC102" s="21"/>
      <c r="BD102" s="21"/>
      <c r="BE102" s="21"/>
      <c r="BF102" s="21"/>
      <c r="BG102" s="21"/>
      <c r="BH102" s="21"/>
      <c r="BI102" s="21"/>
      <c r="BJ102" s="21"/>
      <c r="BK102" s="21"/>
      <c r="BL102" s="21"/>
      <c r="BM102" s="21"/>
      <c r="BN102" s="21"/>
      <c r="BO102" s="21"/>
      <c r="BP102" s="21"/>
      <c r="BQ102" s="21"/>
      <c r="BR102" s="21"/>
      <c r="BS102" s="21"/>
      <c r="BT102" s="21"/>
      <c r="BU102" s="21"/>
      <c r="BV102" s="21"/>
      <c r="BW102" s="21"/>
      <c r="BX102" s="21"/>
      <c r="BY102" s="21"/>
      <c r="BZ102" s="21"/>
      <c r="CA102" s="21"/>
      <c r="CB102" s="21"/>
      <c r="CC102" s="21"/>
      <c r="CD102" s="21"/>
      <c r="CE102" s="21"/>
      <c r="CF102" s="21"/>
      <c r="CG102" s="21"/>
      <c r="CH102" s="21"/>
      <c r="CI102" s="21"/>
      <c r="CJ102" s="21"/>
      <c r="CK102" s="21"/>
      <c r="CL102" s="21"/>
      <c r="CM102" s="21"/>
      <c r="CN102" s="21"/>
      <c r="CO102" s="21"/>
      <c r="CP102" s="21"/>
      <c r="CQ102" s="21"/>
      <c r="CR102" s="21"/>
      <c r="CS102" s="21"/>
      <c r="CT102" s="21"/>
      <c r="CU102" s="21"/>
      <c r="CV102" s="21"/>
      <c r="CW102" s="21"/>
      <c r="CX102" s="21"/>
      <c r="CY102" s="21"/>
      <c r="CZ102" s="21"/>
      <c r="DA102" s="21"/>
      <c r="DB102" s="21"/>
      <c r="DC102" s="21"/>
      <c r="DD102" s="21"/>
      <c r="DE102" s="21"/>
      <c r="DF102" s="18"/>
      <c r="DG102" s="18"/>
      <c r="DH102" s="18"/>
      <c r="DI102" s="18"/>
      <c r="DJ102" s="18"/>
      <c r="DK102" s="18"/>
      <c r="DL102" s="18"/>
      <c r="DM102" s="18"/>
      <c r="DN102" s="18"/>
      <c r="DO102" s="18"/>
      <c r="DP102" s="18"/>
      <c r="DQ102" s="18"/>
      <c r="DR102" s="18"/>
      <c r="DS102" s="18"/>
      <c r="DT102" s="18"/>
      <c r="DU102" s="18"/>
      <c r="DV102" s="18"/>
      <c r="DW102" s="18"/>
      <c r="DX102" s="18"/>
      <c r="DY102" s="18"/>
      <c r="DZ102" s="18"/>
      <c r="EA102" s="18"/>
      <c r="EB102" s="18"/>
      <c r="EC102" s="18"/>
      <c r="ED102" s="18"/>
      <c r="EE102" s="18"/>
      <c r="EF102" s="18"/>
      <c r="EG102" s="18"/>
      <c r="EH102" s="18"/>
      <c r="EI102" s="18"/>
      <c r="EJ102" s="18"/>
      <c r="EK102" s="18"/>
      <c r="EL102" s="18"/>
      <c r="EM102" s="18"/>
      <c r="EN102" s="18"/>
      <c r="EO102" s="18"/>
      <c r="EP102" s="18"/>
      <c r="EQ102" s="18"/>
      <c r="ER102" s="18"/>
      <c r="ES102" s="18"/>
      <c r="ET102" s="18"/>
      <c r="EU102" s="18"/>
      <c r="EV102" s="18"/>
      <c r="EW102" s="18"/>
      <c r="EX102" s="18"/>
      <c r="EY102" s="18"/>
      <c r="EZ102" s="18"/>
      <c r="FA102" s="18"/>
      <c r="FB102" s="18"/>
      <c r="FC102" s="18"/>
      <c r="FD102" s="18"/>
      <c r="FE102" s="18"/>
      <c r="FF102" s="18"/>
      <c r="FG102" s="18"/>
      <c r="FH102" s="18"/>
      <c r="FI102" s="18"/>
      <c r="FJ102" s="18"/>
      <c r="FK102" s="18"/>
      <c r="FL102" s="18"/>
      <c r="FM102" s="18"/>
      <c r="FN102" s="18"/>
      <c r="FO102" s="18"/>
    </row>
    <row r="103" ht="15.75" customHeight="1">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c r="AA103" s="21"/>
      <c r="AB103" s="21"/>
      <c r="AC103" s="21"/>
      <c r="AD103" s="21"/>
      <c r="AE103" s="21"/>
      <c r="AF103" s="21"/>
      <c r="AG103" s="21"/>
      <c r="AH103" s="21"/>
      <c r="AI103" s="21"/>
      <c r="AJ103" s="21"/>
      <c r="AK103" s="21"/>
      <c r="AL103" s="21"/>
      <c r="AM103" s="21"/>
      <c r="AN103" s="21"/>
      <c r="AO103" s="21"/>
      <c r="AP103" s="21"/>
      <c r="AQ103" s="21"/>
      <c r="AR103" s="21"/>
      <c r="AS103" s="21"/>
      <c r="AT103" s="21"/>
      <c r="AU103" s="21"/>
      <c r="AV103" s="21"/>
      <c r="AW103" s="21"/>
      <c r="AX103" s="21"/>
      <c r="AY103" s="21"/>
      <c r="AZ103" s="21"/>
      <c r="BA103" s="21"/>
      <c r="BB103" s="21"/>
      <c r="BC103" s="21"/>
      <c r="BD103" s="21"/>
      <c r="BE103" s="21"/>
      <c r="BF103" s="21"/>
      <c r="BG103" s="21"/>
      <c r="BH103" s="21"/>
      <c r="BI103" s="21"/>
      <c r="BJ103" s="21"/>
      <c r="BK103" s="21"/>
      <c r="BL103" s="21"/>
      <c r="BM103" s="21"/>
      <c r="BN103" s="21"/>
      <c r="BO103" s="21"/>
      <c r="BP103" s="21"/>
      <c r="BQ103" s="21"/>
      <c r="BR103" s="21"/>
      <c r="BS103" s="21"/>
      <c r="BT103" s="21"/>
      <c r="BU103" s="21"/>
      <c r="BV103" s="21"/>
      <c r="BW103" s="21"/>
      <c r="BX103" s="21"/>
      <c r="BY103" s="21"/>
      <c r="BZ103" s="21"/>
      <c r="CA103" s="21"/>
      <c r="CB103" s="21"/>
      <c r="CC103" s="21"/>
      <c r="CD103" s="21"/>
      <c r="CE103" s="21"/>
      <c r="CF103" s="21"/>
      <c r="CG103" s="21"/>
      <c r="CH103" s="21"/>
      <c r="CI103" s="21"/>
      <c r="CJ103" s="21"/>
      <c r="CK103" s="21"/>
      <c r="CL103" s="21"/>
      <c r="CM103" s="21"/>
      <c r="CN103" s="21"/>
      <c r="CO103" s="21"/>
      <c r="CP103" s="21"/>
      <c r="CQ103" s="21"/>
      <c r="CR103" s="21"/>
      <c r="CS103" s="21"/>
      <c r="CT103" s="21"/>
      <c r="CU103" s="21"/>
      <c r="CV103" s="21"/>
      <c r="CW103" s="21"/>
      <c r="CX103" s="21"/>
      <c r="CY103" s="21"/>
      <c r="CZ103" s="21"/>
      <c r="DA103" s="21"/>
      <c r="DB103" s="21"/>
      <c r="DC103" s="21"/>
      <c r="DD103" s="21"/>
      <c r="DE103" s="21"/>
      <c r="DF103" s="18"/>
      <c r="DG103" s="18"/>
      <c r="DH103" s="18"/>
      <c r="DI103" s="18"/>
      <c r="DJ103" s="18"/>
      <c r="DK103" s="18"/>
      <c r="DL103" s="18"/>
      <c r="DM103" s="18"/>
      <c r="DN103" s="18"/>
      <c r="DO103" s="18"/>
      <c r="DP103" s="18"/>
      <c r="DQ103" s="18"/>
      <c r="DR103" s="18"/>
      <c r="DS103" s="18"/>
      <c r="DT103" s="18"/>
      <c r="DU103" s="18"/>
      <c r="DV103" s="18"/>
      <c r="DW103" s="18"/>
      <c r="DX103" s="18"/>
      <c r="DY103" s="18"/>
      <c r="DZ103" s="18"/>
      <c r="EA103" s="18"/>
      <c r="EB103" s="18"/>
      <c r="EC103" s="18"/>
      <c r="ED103" s="18"/>
      <c r="EE103" s="18"/>
      <c r="EF103" s="18"/>
      <c r="EG103" s="18"/>
      <c r="EH103" s="18"/>
      <c r="EI103" s="18"/>
      <c r="EJ103" s="18"/>
      <c r="EK103" s="18"/>
      <c r="EL103" s="18"/>
      <c r="EM103" s="18"/>
      <c r="EN103" s="18"/>
      <c r="EO103" s="18"/>
      <c r="EP103" s="18"/>
      <c r="EQ103" s="18"/>
      <c r="ER103" s="18"/>
      <c r="ES103" s="18"/>
      <c r="ET103" s="18"/>
      <c r="EU103" s="18"/>
      <c r="EV103" s="18"/>
      <c r="EW103" s="18"/>
      <c r="EX103" s="18"/>
      <c r="EY103" s="18"/>
      <c r="EZ103" s="18"/>
      <c r="FA103" s="18"/>
      <c r="FB103" s="18"/>
      <c r="FC103" s="18"/>
      <c r="FD103" s="18"/>
      <c r="FE103" s="18"/>
      <c r="FF103" s="18"/>
      <c r="FG103" s="18"/>
      <c r="FH103" s="18"/>
      <c r="FI103" s="18"/>
      <c r="FJ103" s="18"/>
      <c r="FK103" s="18"/>
      <c r="FL103" s="18"/>
      <c r="FM103" s="18"/>
      <c r="FN103" s="18"/>
      <c r="FO103" s="18"/>
    </row>
    <row r="104" ht="15.75" customHeight="1">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c r="AA104" s="21"/>
      <c r="AB104" s="21"/>
      <c r="AC104" s="21"/>
      <c r="AD104" s="21"/>
      <c r="AE104" s="21"/>
      <c r="AF104" s="21"/>
      <c r="AG104" s="21"/>
      <c r="AH104" s="21"/>
      <c r="AI104" s="21"/>
      <c r="AJ104" s="21"/>
      <c r="AK104" s="21"/>
      <c r="AL104" s="21"/>
      <c r="AM104" s="21"/>
      <c r="AN104" s="21"/>
      <c r="AO104" s="21"/>
      <c r="AP104" s="21"/>
      <c r="AQ104" s="21"/>
      <c r="AR104" s="21"/>
      <c r="AS104" s="21"/>
      <c r="AT104" s="21"/>
      <c r="AU104" s="21"/>
      <c r="AV104" s="21"/>
      <c r="AW104" s="21"/>
      <c r="AX104" s="21"/>
      <c r="AY104" s="21"/>
      <c r="AZ104" s="21"/>
      <c r="BA104" s="21"/>
      <c r="BB104" s="21"/>
      <c r="BC104" s="21"/>
      <c r="BD104" s="21"/>
      <c r="BE104" s="21"/>
      <c r="BF104" s="21"/>
      <c r="BG104" s="21"/>
      <c r="BH104" s="21"/>
      <c r="BI104" s="21"/>
      <c r="BJ104" s="21"/>
      <c r="BK104" s="21"/>
      <c r="BL104" s="21"/>
      <c r="BM104" s="21"/>
      <c r="BN104" s="21"/>
      <c r="BO104" s="21"/>
      <c r="BP104" s="21"/>
      <c r="BQ104" s="21"/>
      <c r="BR104" s="21"/>
      <c r="BS104" s="21"/>
      <c r="BT104" s="21"/>
      <c r="BU104" s="21"/>
      <c r="BV104" s="21"/>
      <c r="BW104" s="21"/>
      <c r="BX104" s="21"/>
      <c r="BY104" s="21"/>
      <c r="BZ104" s="21"/>
      <c r="CA104" s="21"/>
      <c r="CB104" s="21"/>
      <c r="CC104" s="21"/>
      <c r="CD104" s="21"/>
      <c r="CE104" s="21"/>
      <c r="CF104" s="21"/>
      <c r="CG104" s="21"/>
      <c r="CH104" s="21"/>
      <c r="CI104" s="21"/>
      <c r="CJ104" s="21"/>
      <c r="CK104" s="21"/>
      <c r="CL104" s="21"/>
      <c r="CM104" s="21"/>
      <c r="CN104" s="21"/>
      <c r="CO104" s="21"/>
      <c r="CP104" s="21"/>
      <c r="CQ104" s="21"/>
      <c r="CR104" s="21"/>
      <c r="CS104" s="21"/>
      <c r="CT104" s="21"/>
      <c r="CU104" s="21"/>
      <c r="CV104" s="21"/>
      <c r="CW104" s="21"/>
      <c r="CX104" s="21"/>
      <c r="CY104" s="21"/>
      <c r="CZ104" s="21"/>
      <c r="DA104" s="21"/>
      <c r="DB104" s="21"/>
      <c r="DC104" s="21"/>
      <c r="DD104" s="21"/>
      <c r="DE104" s="21"/>
      <c r="DF104" s="18"/>
      <c r="DG104" s="18"/>
      <c r="DH104" s="18"/>
      <c r="DI104" s="18"/>
      <c r="DJ104" s="18"/>
      <c r="DK104" s="18"/>
      <c r="DL104" s="18"/>
      <c r="DM104" s="18"/>
      <c r="DN104" s="18"/>
      <c r="DO104" s="18"/>
      <c r="DP104" s="18"/>
      <c r="DQ104" s="18"/>
      <c r="DR104" s="18"/>
      <c r="DS104" s="18"/>
      <c r="DT104" s="18"/>
      <c r="DU104" s="18"/>
      <c r="DV104" s="18"/>
      <c r="DW104" s="18"/>
      <c r="DX104" s="18"/>
      <c r="DY104" s="18"/>
      <c r="DZ104" s="18"/>
      <c r="EA104" s="18"/>
      <c r="EB104" s="18"/>
      <c r="EC104" s="18"/>
      <c r="ED104" s="18"/>
      <c r="EE104" s="18"/>
      <c r="EF104" s="18"/>
      <c r="EG104" s="18"/>
      <c r="EH104" s="18"/>
      <c r="EI104" s="18"/>
      <c r="EJ104" s="18"/>
      <c r="EK104" s="18"/>
      <c r="EL104" s="18"/>
      <c r="EM104" s="18"/>
      <c r="EN104" s="18"/>
      <c r="EO104" s="18"/>
      <c r="EP104" s="18"/>
      <c r="EQ104" s="18"/>
      <c r="ER104" s="18"/>
      <c r="ES104" s="18"/>
      <c r="ET104" s="18"/>
      <c r="EU104" s="18"/>
      <c r="EV104" s="18"/>
      <c r="EW104" s="18"/>
      <c r="EX104" s="18"/>
      <c r="EY104" s="18"/>
      <c r="EZ104" s="18"/>
      <c r="FA104" s="18"/>
      <c r="FB104" s="18"/>
      <c r="FC104" s="18"/>
      <c r="FD104" s="18"/>
      <c r="FE104" s="18"/>
      <c r="FF104" s="18"/>
      <c r="FG104" s="18"/>
      <c r="FH104" s="18"/>
      <c r="FI104" s="18"/>
      <c r="FJ104" s="18"/>
      <c r="FK104" s="18"/>
      <c r="FL104" s="18"/>
      <c r="FM104" s="18"/>
      <c r="FN104" s="18"/>
      <c r="FO104" s="18"/>
    </row>
    <row r="105" ht="15.75" customHeight="1">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c r="AA105" s="21"/>
      <c r="AB105" s="21"/>
      <c r="AC105" s="21"/>
      <c r="AD105" s="21"/>
      <c r="AE105" s="21"/>
      <c r="AF105" s="21"/>
      <c r="AG105" s="21"/>
      <c r="AH105" s="21"/>
      <c r="AI105" s="21"/>
      <c r="AJ105" s="21"/>
      <c r="AK105" s="21"/>
      <c r="AL105" s="21"/>
      <c r="AM105" s="21"/>
      <c r="AN105" s="21"/>
      <c r="AO105" s="21"/>
      <c r="AP105" s="21"/>
      <c r="AQ105" s="21"/>
      <c r="AR105" s="21"/>
      <c r="AS105" s="21"/>
      <c r="AT105" s="21"/>
      <c r="AU105" s="21"/>
      <c r="AV105" s="21"/>
      <c r="AW105" s="21"/>
      <c r="AX105" s="21"/>
      <c r="AY105" s="21"/>
      <c r="AZ105" s="21"/>
      <c r="BA105" s="21"/>
      <c r="BB105" s="21"/>
      <c r="BC105" s="21"/>
      <c r="BD105" s="21"/>
      <c r="BE105" s="21"/>
      <c r="BF105" s="21"/>
      <c r="BG105" s="21"/>
      <c r="BH105" s="21"/>
      <c r="BI105" s="21"/>
      <c r="BJ105" s="21"/>
      <c r="BK105" s="21"/>
      <c r="BL105" s="21"/>
      <c r="BM105" s="21"/>
      <c r="BN105" s="21"/>
      <c r="BO105" s="21"/>
      <c r="BP105" s="21"/>
      <c r="BQ105" s="21"/>
      <c r="BR105" s="21"/>
      <c r="BS105" s="21"/>
      <c r="BT105" s="21"/>
      <c r="BU105" s="21"/>
      <c r="BV105" s="21"/>
      <c r="BW105" s="21"/>
      <c r="BX105" s="21"/>
      <c r="BY105" s="21"/>
      <c r="BZ105" s="21"/>
      <c r="CA105" s="21"/>
      <c r="CB105" s="21"/>
      <c r="CC105" s="21"/>
      <c r="CD105" s="21"/>
      <c r="CE105" s="21"/>
      <c r="CF105" s="21"/>
      <c r="CG105" s="21"/>
      <c r="CH105" s="21"/>
      <c r="CI105" s="21"/>
      <c r="CJ105" s="21"/>
      <c r="CK105" s="21"/>
      <c r="CL105" s="21"/>
      <c r="CM105" s="21"/>
      <c r="CN105" s="21"/>
      <c r="CO105" s="21"/>
      <c r="CP105" s="21"/>
      <c r="CQ105" s="21"/>
      <c r="CR105" s="21"/>
      <c r="CS105" s="21"/>
      <c r="CT105" s="21"/>
      <c r="CU105" s="21"/>
      <c r="CV105" s="21"/>
      <c r="CW105" s="21"/>
      <c r="CX105" s="21"/>
      <c r="CY105" s="21"/>
      <c r="CZ105" s="21"/>
      <c r="DA105" s="21"/>
      <c r="DB105" s="21"/>
      <c r="DC105" s="21"/>
      <c r="DD105" s="21"/>
      <c r="DE105" s="21"/>
      <c r="DF105" s="18"/>
      <c r="DG105" s="18"/>
      <c r="DH105" s="18"/>
      <c r="DI105" s="18"/>
      <c r="DJ105" s="18"/>
      <c r="DK105" s="18"/>
      <c r="DL105" s="18"/>
      <c r="DM105" s="18"/>
      <c r="DN105" s="18"/>
      <c r="DO105" s="18"/>
      <c r="DP105" s="18"/>
      <c r="DQ105" s="18"/>
      <c r="DR105" s="18"/>
      <c r="DS105" s="18"/>
      <c r="DT105" s="18"/>
      <c r="DU105" s="18"/>
      <c r="DV105" s="18"/>
      <c r="DW105" s="18"/>
      <c r="DX105" s="18"/>
      <c r="DY105" s="18"/>
      <c r="DZ105" s="18"/>
      <c r="EA105" s="18"/>
      <c r="EB105" s="18"/>
      <c r="EC105" s="18"/>
      <c r="ED105" s="18"/>
      <c r="EE105" s="18"/>
      <c r="EF105" s="18"/>
      <c r="EG105" s="18"/>
      <c r="EH105" s="18"/>
      <c r="EI105" s="18"/>
      <c r="EJ105" s="18"/>
      <c r="EK105" s="18"/>
      <c r="EL105" s="18"/>
      <c r="EM105" s="18"/>
      <c r="EN105" s="18"/>
      <c r="EO105" s="18"/>
      <c r="EP105" s="18"/>
      <c r="EQ105" s="18"/>
      <c r="ER105" s="18"/>
      <c r="ES105" s="18"/>
      <c r="ET105" s="18"/>
      <c r="EU105" s="18"/>
      <c r="EV105" s="18"/>
      <c r="EW105" s="18"/>
      <c r="EX105" s="18"/>
      <c r="EY105" s="18"/>
      <c r="EZ105" s="18"/>
      <c r="FA105" s="18"/>
      <c r="FB105" s="18"/>
      <c r="FC105" s="18"/>
      <c r="FD105" s="18"/>
      <c r="FE105" s="18"/>
      <c r="FF105" s="18"/>
      <c r="FG105" s="18"/>
      <c r="FH105" s="18"/>
      <c r="FI105" s="18"/>
      <c r="FJ105" s="18"/>
      <c r="FK105" s="18"/>
      <c r="FL105" s="18"/>
      <c r="FM105" s="18"/>
      <c r="FN105" s="18"/>
      <c r="FO105" s="18"/>
    </row>
    <row r="106" ht="15.75" customHeight="1">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c r="AA106" s="21"/>
      <c r="AB106" s="21"/>
      <c r="AC106" s="21"/>
      <c r="AD106" s="21"/>
      <c r="AE106" s="21"/>
      <c r="AF106" s="21"/>
      <c r="AG106" s="21"/>
      <c r="AH106" s="21"/>
      <c r="AI106" s="21"/>
      <c r="AJ106" s="21"/>
      <c r="AK106" s="21"/>
      <c r="AL106" s="21"/>
      <c r="AM106" s="21"/>
      <c r="AN106" s="21"/>
      <c r="AO106" s="21"/>
      <c r="AP106" s="21"/>
      <c r="AQ106" s="21"/>
      <c r="AR106" s="21"/>
      <c r="AS106" s="21"/>
      <c r="AT106" s="21"/>
      <c r="AU106" s="21"/>
      <c r="AV106" s="21"/>
      <c r="AW106" s="21"/>
      <c r="AX106" s="21"/>
      <c r="AY106" s="21"/>
      <c r="AZ106" s="21"/>
      <c r="BA106" s="21"/>
      <c r="BB106" s="21"/>
      <c r="BC106" s="21"/>
      <c r="BD106" s="21"/>
      <c r="BE106" s="21"/>
      <c r="BF106" s="21"/>
      <c r="BG106" s="21"/>
      <c r="BH106" s="21"/>
      <c r="BI106" s="21"/>
      <c r="BJ106" s="21"/>
      <c r="BK106" s="21"/>
      <c r="BL106" s="21"/>
      <c r="BM106" s="21"/>
      <c r="BN106" s="21"/>
      <c r="BO106" s="21"/>
      <c r="BP106" s="21"/>
      <c r="BQ106" s="21"/>
      <c r="BR106" s="21"/>
      <c r="BS106" s="21"/>
      <c r="BT106" s="21"/>
      <c r="BU106" s="21"/>
      <c r="BV106" s="21"/>
      <c r="BW106" s="21"/>
      <c r="BX106" s="21"/>
      <c r="BY106" s="21"/>
      <c r="BZ106" s="21"/>
      <c r="CA106" s="21"/>
      <c r="CB106" s="21"/>
      <c r="CC106" s="21"/>
      <c r="CD106" s="21"/>
      <c r="CE106" s="21"/>
      <c r="CF106" s="21"/>
      <c r="CG106" s="21"/>
      <c r="CH106" s="21"/>
      <c r="CI106" s="21"/>
      <c r="CJ106" s="21"/>
      <c r="CK106" s="21"/>
      <c r="CL106" s="21"/>
      <c r="CM106" s="21"/>
      <c r="CN106" s="21"/>
      <c r="CO106" s="21"/>
      <c r="CP106" s="21"/>
      <c r="CQ106" s="21"/>
      <c r="CR106" s="21"/>
      <c r="CS106" s="21"/>
      <c r="CT106" s="21"/>
      <c r="CU106" s="21"/>
      <c r="CV106" s="21"/>
      <c r="CW106" s="21"/>
      <c r="CX106" s="21"/>
      <c r="CY106" s="21"/>
      <c r="CZ106" s="21"/>
      <c r="DA106" s="21"/>
      <c r="DB106" s="21"/>
      <c r="DC106" s="21"/>
      <c r="DD106" s="21"/>
      <c r="DE106" s="21"/>
      <c r="DF106" s="18"/>
      <c r="DG106" s="18"/>
      <c r="DH106" s="18"/>
      <c r="DI106" s="18"/>
      <c r="DJ106" s="18"/>
      <c r="DK106" s="18"/>
      <c r="DL106" s="18"/>
      <c r="DM106" s="18"/>
      <c r="DN106" s="18"/>
      <c r="DO106" s="18"/>
      <c r="DP106" s="18"/>
      <c r="DQ106" s="18"/>
      <c r="DR106" s="18"/>
      <c r="DS106" s="18"/>
      <c r="DT106" s="18"/>
      <c r="DU106" s="18"/>
      <c r="DV106" s="18"/>
      <c r="DW106" s="18"/>
      <c r="DX106" s="18"/>
      <c r="DY106" s="18"/>
      <c r="DZ106" s="18"/>
      <c r="EA106" s="18"/>
      <c r="EB106" s="18"/>
      <c r="EC106" s="18"/>
      <c r="ED106" s="18"/>
      <c r="EE106" s="18"/>
      <c r="EF106" s="18"/>
      <c r="EG106" s="18"/>
      <c r="EH106" s="18"/>
      <c r="EI106" s="18"/>
      <c r="EJ106" s="18"/>
      <c r="EK106" s="18"/>
      <c r="EL106" s="18"/>
      <c r="EM106" s="18"/>
      <c r="EN106" s="18"/>
      <c r="EO106" s="18"/>
      <c r="EP106" s="18"/>
      <c r="EQ106" s="18"/>
      <c r="ER106" s="18"/>
      <c r="ES106" s="18"/>
      <c r="ET106" s="18"/>
      <c r="EU106" s="18"/>
      <c r="EV106" s="18"/>
      <c r="EW106" s="18"/>
      <c r="EX106" s="18"/>
      <c r="EY106" s="18"/>
      <c r="EZ106" s="18"/>
      <c r="FA106" s="18"/>
      <c r="FB106" s="18"/>
      <c r="FC106" s="18"/>
      <c r="FD106" s="18"/>
      <c r="FE106" s="18"/>
      <c r="FF106" s="18"/>
      <c r="FG106" s="18"/>
      <c r="FH106" s="18"/>
      <c r="FI106" s="18"/>
      <c r="FJ106" s="18"/>
      <c r="FK106" s="18"/>
      <c r="FL106" s="18"/>
      <c r="FM106" s="18"/>
      <c r="FN106" s="18"/>
      <c r="FO106" s="18"/>
    </row>
    <row r="107" ht="15.75" customHeight="1">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c r="AA107" s="21"/>
      <c r="AB107" s="21"/>
      <c r="AC107" s="21"/>
      <c r="AD107" s="21"/>
      <c r="AE107" s="21"/>
      <c r="AF107" s="21"/>
      <c r="AG107" s="21"/>
      <c r="AH107" s="21"/>
      <c r="AI107" s="21"/>
      <c r="AJ107" s="21"/>
      <c r="AK107" s="21"/>
      <c r="AL107" s="21"/>
      <c r="AM107" s="21"/>
      <c r="AN107" s="21"/>
      <c r="AO107" s="21"/>
      <c r="AP107" s="21"/>
      <c r="AQ107" s="21"/>
      <c r="AR107" s="21"/>
      <c r="AS107" s="21"/>
      <c r="AT107" s="21"/>
      <c r="AU107" s="21"/>
      <c r="AV107" s="21"/>
      <c r="AW107" s="21"/>
      <c r="AX107" s="21"/>
      <c r="AY107" s="21"/>
      <c r="AZ107" s="21"/>
      <c r="BA107" s="21"/>
      <c r="BB107" s="21"/>
      <c r="BC107" s="21"/>
      <c r="BD107" s="21"/>
      <c r="BE107" s="21"/>
      <c r="BF107" s="21"/>
      <c r="BG107" s="21"/>
      <c r="BH107" s="21"/>
      <c r="BI107" s="21"/>
      <c r="BJ107" s="21"/>
      <c r="BK107" s="21"/>
      <c r="BL107" s="21"/>
      <c r="BM107" s="21"/>
      <c r="BN107" s="21"/>
      <c r="BO107" s="21"/>
      <c r="BP107" s="21"/>
      <c r="BQ107" s="21"/>
      <c r="BR107" s="21"/>
      <c r="BS107" s="21"/>
      <c r="BT107" s="21"/>
      <c r="BU107" s="21"/>
      <c r="BV107" s="21"/>
      <c r="BW107" s="21"/>
      <c r="BX107" s="21"/>
      <c r="BY107" s="21"/>
      <c r="BZ107" s="21"/>
      <c r="CA107" s="21"/>
      <c r="CB107" s="21"/>
      <c r="CC107" s="21"/>
      <c r="CD107" s="21"/>
      <c r="CE107" s="21"/>
      <c r="CF107" s="21"/>
      <c r="CG107" s="21"/>
      <c r="CH107" s="21"/>
      <c r="CI107" s="21"/>
      <c r="CJ107" s="21"/>
      <c r="CK107" s="21"/>
      <c r="CL107" s="21"/>
      <c r="CM107" s="21"/>
      <c r="CN107" s="21"/>
      <c r="CO107" s="21"/>
      <c r="CP107" s="21"/>
      <c r="CQ107" s="21"/>
      <c r="CR107" s="21"/>
      <c r="CS107" s="21"/>
      <c r="CT107" s="21"/>
      <c r="CU107" s="21"/>
      <c r="CV107" s="21"/>
      <c r="CW107" s="21"/>
      <c r="CX107" s="21"/>
      <c r="CY107" s="21"/>
      <c r="CZ107" s="21"/>
      <c r="DA107" s="21"/>
      <c r="DB107" s="21"/>
      <c r="DC107" s="21"/>
      <c r="DD107" s="21"/>
      <c r="DE107" s="21"/>
      <c r="DF107" s="18"/>
      <c r="DG107" s="18"/>
      <c r="DH107" s="18"/>
      <c r="DI107" s="18"/>
      <c r="DJ107" s="18"/>
      <c r="DK107" s="18"/>
      <c r="DL107" s="18"/>
      <c r="DM107" s="18"/>
      <c r="DN107" s="18"/>
      <c r="DO107" s="18"/>
      <c r="DP107" s="18"/>
      <c r="DQ107" s="18"/>
      <c r="DR107" s="18"/>
      <c r="DS107" s="18"/>
      <c r="DT107" s="18"/>
      <c r="DU107" s="18"/>
      <c r="DV107" s="18"/>
      <c r="DW107" s="18"/>
      <c r="DX107" s="18"/>
      <c r="DY107" s="18"/>
      <c r="DZ107" s="18"/>
      <c r="EA107" s="18"/>
      <c r="EB107" s="18"/>
      <c r="EC107" s="18"/>
      <c r="ED107" s="18"/>
      <c r="EE107" s="18"/>
      <c r="EF107" s="18"/>
      <c r="EG107" s="18"/>
      <c r="EH107" s="18"/>
      <c r="EI107" s="18"/>
      <c r="EJ107" s="18"/>
      <c r="EK107" s="18"/>
      <c r="EL107" s="18"/>
      <c r="EM107" s="18"/>
      <c r="EN107" s="18"/>
      <c r="EO107" s="18"/>
      <c r="EP107" s="18"/>
      <c r="EQ107" s="18"/>
      <c r="ER107" s="18"/>
      <c r="ES107" s="18"/>
      <c r="ET107" s="18"/>
      <c r="EU107" s="18"/>
      <c r="EV107" s="18"/>
      <c r="EW107" s="18"/>
      <c r="EX107" s="18"/>
      <c r="EY107" s="18"/>
      <c r="EZ107" s="18"/>
      <c r="FA107" s="18"/>
      <c r="FB107" s="18"/>
      <c r="FC107" s="18"/>
      <c r="FD107" s="18"/>
      <c r="FE107" s="18"/>
      <c r="FF107" s="18"/>
      <c r="FG107" s="18"/>
      <c r="FH107" s="18"/>
      <c r="FI107" s="18"/>
      <c r="FJ107" s="18"/>
      <c r="FK107" s="18"/>
      <c r="FL107" s="18"/>
      <c r="FM107" s="18"/>
      <c r="FN107" s="18"/>
      <c r="FO107" s="18"/>
    </row>
    <row r="108" ht="15.75" customHeight="1">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c r="AA108" s="21"/>
      <c r="AB108" s="21"/>
      <c r="AC108" s="21"/>
      <c r="AD108" s="21"/>
      <c r="AE108" s="21"/>
      <c r="AF108" s="21"/>
      <c r="AG108" s="21"/>
      <c r="AH108" s="21"/>
      <c r="AI108" s="21"/>
      <c r="AJ108" s="21"/>
      <c r="AK108" s="21"/>
      <c r="AL108" s="21"/>
      <c r="AM108" s="21"/>
      <c r="AN108" s="21"/>
      <c r="AO108" s="21"/>
      <c r="AP108" s="21"/>
      <c r="AQ108" s="21"/>
      <c r="AR108" s="21"/>
      <c r="AS108" s="21"/>
      <c r="AT108" s="21"/>
      <c r="AU108" s="21"/>
      <c r="AV108" s="21"/>
      <c r="AW108" s="21"/>
      <c r="AX108" s="21"/>
      <c r="AY108" s="21"/>
      <c r="AZ108" s="21"/>
      <c r="BA108" s="21"/>
      <c r="BB108" s="21"/>
      <c r="BC108" s="21"/>
      <c r="BD108" s="21"/>
      <c r="BE108" s="21"/>
      <c r="BF108" s="21"/>
      <c r="BG108" s="21"/>
      <c r="BH108" s="21"/>
      <c r="BI108" s="21"/>
      <c r="BJ108" s="21"/>
      <c r="BK108" s="21"/>
      <c r="BL108" s="21"/>
      <c r="BM108" s="21"/>
      <c r="BN108" s="21"/>
      <c r="BO108" s="21"/>
      <c r="BP108" s="21"/>
      <c r="BQ108" s="21"/>
      <c r="BR108" s="21"/>
      <c r="BS108" s="21"/>
      <c r="BT108" s="21"/>
      <c r="BU108" s="21"/>
      <c r="BV108" s="21"/>
      <c r="BW108" s="21"/>
      <c r="BX108" s="21"/>
      <c r="BY108" s="21"/>
      <c r="BZ108" s="21"/>
      <c r="CA108" s="21"/>
      <c r="CB108" s="21"/>
      <c r="CC108" s="21"/>
      <c r="CD108" s="21"/>
      <c r="CE108" s="21"/>
      <c r="CF108" s="21"/>
      <c r="CG108" s="21"/>
      <c r="CH108" s="21"/>
      <c r="CI108" s="21"/>
      <c r="CJ108" s="21"/>
      <c r="CK108" s="21"/>
      <c r="CL108" s="21"/>
      <c r="CM108" s="21"/>
      <c r="CN108" s="21"/>
      <c r="CO108" s="21"/>
      <c r="CP108" s="21"/>
      <c r="CQ108" s="21"/>
      <c r="CR108" s="21"/>
      <c r="CS108" s="21"/>
      <c r="CT108" s="21"/>
      <c r="CU108" s="21"/>
      <c r="CV108" s="21"/>
      <c r="CW108" s="21"/>
      <c r="CX108" s="21"/>
      <c r="CY108" s="21"/>
      <c r="CZ108" s="21"/>
      <c r="DA108" s="21"/>
      <c r="DB108" s="21"/>
      <c r="DC108" s="21"/>
      <c r="DD108" s="21"/>
      <c r="DE108" s="21"/>
      <c r="DF108" s="18"/>
      <c r="DG108" s="18"/>
      <c r="DH108" s="18"/>
      <c r="DI108" s="18"/>
      <c r="DJ108" s="18"/>
      <c r="DK108" s="18"/>
      <c r="DL108" s="18"/>
      <c r="DM108" s="18"/>
      <c r="DN108" s="18"/>
      <c r="DO108" s="18"/>
      <c r="DP108" s="18"/>
      <c r="DQ108" s="18"/>
      <c r="DR108" s="18"/>
      <c r="DS108" s="18"/>
      <c r="DT108" s="18"/>
      <c r="DU108" s="18"/>
      <c r="DV108" s="18"/>
      <c r="DW108" s="18"/>
      <c r="DX108" s="18"/>
      <c r="DY108" s="18"/>
      <c r="DZ108" s="18"/>
      <c r="EA108" s="18"/>
      <c r="EB108" s="18"/>
      <c r="EC108" s="18"/>
      <c r="ED108" s="18"/>
      <c r="EE108" s="18"/>
      <c r="EF108" s="18"/>
      <c r="EG108" s="18"/>
      <c r="EH108" s="18"/>
      <c r="EI108" s="18"/>
      <c r="EJ108" s="18"/>
      <c r="EK108" s="18"/>
      <c r="EL108" s="18"/>
      <c r="EM108" s="18"/>
      <c r="EN108" s="18"/>
      <c r="EO108" s="18"/>
      <c r="EP108" s="18"/>
      <c r="EQ108" s="18"/>
      <c r="ER108" s="18"/>
      <c r="ES108" s="18"/>
      <c r="ET108" s="18"/>
      <c r="EU108" s="18"/>
      <c r="EV108" s="18"/>
      <c r="EW108" s="18"/>
      <c r="EX108" s="18"/>
      <c r="EY108" s="18"/>
      <c r="EZ108" s="18"/>
      <c r="FA108" s="18"/>
      <c r="FB108" s="18"/>
      <c r="FC108" s="18"/>
      <c r="FD108" s="18"/>
      <c r="FE108" s="18"/>
      <c r="FF108" s="18"/>
      <c r="FG108" s="18"/>
      <c r="FH108" s="18"/>
      <c r="FI108" s="18"/>
      <c r="FJ108" s="18"/>
      <c r="FK108" s="18"/>
      <c r="FL108" s="18"/>
      <c r="FM108" s="18"/>
      <c r="FN108" s="18"/>
      <c r="FO108" s="18"/>
    </row>
    <row r="109" ht="15.75" customHeight="1">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c r="AA109" s="21"/>
      <c r="AB109" s="21"/>
      <c r="AC109" s="21"/>
      <c r="AD109" s="21"/>
      <c r="AE109" s="21"/>
      <c r="AF109" s="21"/>
      <c r="AG109" s="21"/>
      <c r="AH109" s="21"/>
      <c r="AI109" s="21"/>
      <c r="AJ109" s="21"/>
      <c r="AK109" s="21"/>
      <c r="AL109" s="21"/>
      <c r="AM109" s="21"/>
      <c r="AN109" s="21"/>
      <c r="AO109" s="21"/>
      <c r="AP109" s="21"/>
      <c r="AQ109" s="21"/>
      <c r="AR109" s="21"/>
      <c r="AS109" s="21"/>
      <c r="AT109" s="21"/>
      <c r="AU109" s="21"/>
      <c r="AV109" s="21"/>
      <c r="AW109" s="21"/>
      <c r="AX109" s="21"/>
      <c r="AY109" s="21"/>
      <c r="AZ109" s="21"/>
      <c r="BA109" s="21"/>
      <c r="BB109" s="21"/>
      <c r="BC109" s="21"/>
      <c r="BD109" s="21"/>
      <c r="BE109" s="21"/>
      <c r="BF109" s="21"/>
      <c r="BG109" s="21"/>
      <c r="BH109" s="21"/>
      <c r="BI109" s="21"/>
      <c r="BJ109" s="21"/>
      <c r="BK109" s="21"/>
      <c r="BL109" s="21"/>
      <c r="BM109" s="21"/>
      <c r="BN109" s="21"/>
      <c r="BO109" s="21"/>
      <c r="BP109" s="21"/>
      <c r="BQ109" s="21"/>
      <c r="BR109" s="21"/>
      <c r="BS109" s="21"/>
      <c r="BT109" s="21"/>
      <c r="BU109" s="21"/>
      <c r="BV109" s="21"/>
      <c r="BW109" s="21"/>
      <c r="BX109" s="21"/>
      <c r="BY109" s="21"/>
      <c r="BZ109" s="21"/>
      <c r="CA109" s="21"/>
      <c r="CB109" s="21"/>
      <c r="CC109" s="21"/>
      <c r="CD109" s="21"/>
      <c r="CE109" s="21"/>
      <c r="CF109" s="21"/>
      <c r="CG109" s="21"/>
      <c r="CH109" s="21"/>
      <c r="CI109" s="21"/>
      <c r="CJ109" s="21"/>
      <c r="CK109" s="21"/>
      <c r="CL109" s="21"/>
      <c r="CM109" s="21"/>
      <c r="CN109" s="21"/>
      <c r="CO109" s="21"/>
      <c r="CP109" s="21"/>
      <c r="CQ109" s="21"/>
      <c r="CR109" s="21"/>
      <c r="CS109" s="21"/>
      <c r="CT109" s="21"/>
      <c r="CU109" s="21"/>
      <c r="CV109" s="21"/>
      <c r="CW109" s="21"/>
      <c r="CX109" s="21"/>
      <c r="CY109" s="21"/>
      <c r="CZ109" s="21"/>
      <c r="DA109" s="21"/>
      <c r="DB109" s="21"/>
      <c r="DC109" s="21"/>
      <c r="DD109" s="21"/>
      <c r="DE109" s="21"/>
      <c r="DF109" s="18"/>
      <c r="DG109" s="18"/>
      <c r="DH109" s="18"/>
      <c r="DI109" s="18"/>
      <c r="DJ109" s="18"/>
      <c r="DK109" s="18"/>
      <c r="DL109" s="18"/>
      <c r="DM109" s="18"/>
      <c r="DN109" s="18"/>
      <c r="DO109" s="18"/>
      <c r="DP109" s="18"/>
      <c r="DQ109" s="18"/>
      <c r="DR109" s="18"/>
      <c r="DS109" s="18"/>
      <c r="DT109" s="18"/>
      <c r="DU109" s="18"/>
      <c r="DV109" s="18"/>
      <c r="DW109" s="18"/>
      <c r="DX109" s="18"/>
      <c r="DY109" s="18"/>
      <c r="DZ109" s="18"/>
      <c r="EA109" s="18"/>
      <c r="EB109" s="18"/>
      <c r="EC109" s="18"/>
      <c r="ED109" s="18"/>
      <c r="EE109" s="18"/>
      <c r="EF109" s="18"/>
      <c r="EG109" s="18"/>
      <c r="EH109" s="18"/>
      <c r="EI109" s="18"/>
      <c r="EJ109" s="18"/>
      <c r="EK109" s="18"/>
      <c r="EL109" s="18"/>
      <c r="EM109" s="18"/>
      <c r="EN109" s="18"/>
      <c r="EO109" s="18"/>
      <c r="EP109" s="18"/>
      <c r="EQ109" s="18"/>
      <c r="ER109" s="18"/>
      <c r="ES109" s="18"/>
      <c r="ET109" s="18"/>
      <c r="EU109" s="18"/>
      <c r="EV109" s="18"/>
      <c r="EW109" s="18"/>
      <c r="EX109" s="18"/>
      <c r="EY109" s="18"/>
      <c r="EZ109" s="18"/>
      <c r="FA109" s="18"/>
      <c r="FB109" s="18"/>
      <c r="FC109" s="18"/>
      <c r="FD109" s="18"/>
      <c r="FE109" s="18"/>
      <c r="FF109" s="18"/>
      <c r="FG109" s="18"/>
      <c r="FH109" s="18"/>
      <c r="FI109" s="18"/>
      <c r="FJ109" s="18"/>
      <c r="FK109" s="18"/>
      <c r="FL109" s="18"/>
      <c r="FM109" s="18"/>
      <c r="FN109" s="18"/>
      <c r="FO109" s="18"/>
    </row>
    <row r="110" ht="15.75" customHeight="1">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c r="AA110" s="21"/>
      <c r="AB110" s="21"/>
      <c r="AC110" s="21"/>
      <c r="AD110" s="21"/>
      <c r="AE110" s="21"/>
      <c r="AF110" s="21"/>
      <c r="AG110" s="21"/>
      <c r="AH110" s="21"/>
      <c r="AI110" s="21"/>
      <c r="AJ110" s="21"/>
      <c r="AK110" s="21"/>
      <c r="AL110" s="21"/>
      <c r="AM110" s="21"/>
      <c r="AN110" s="21"/>
      <c r="AO110" s="21"/>
      <c r="AP110" s="21"/>
      <c r="AQ110" s="21"/>
      <c r="AR110" s="21"/>
      <c r="AS110" s="21"/>
      <c r="AT110" s="21"/>
      <c r="AU110" s="21"/>
      <c r="AV110" s="21"/>
      <c r="AW110" s="21"/>
      <c r="AX110" s="21"/>
      <c r="AY110" s="21"/>
      <c r="AZ110" s="21"/>
      <c r="BA110" s="21"/>
      <c r="BB110" s="21"/>
      <c r="BC110" s="21"/>
      <c r="BD110" s="21"/>
      <c r="BE110" s="21"/>
      <c r="BF110" s="21"/>
      <c r="BG110" s="21"/>
      <c r="BH110" s="21"/>
      <c r="BI110" s="21"/>
      <c r="BJ110" s="21"/>
      <c r="BK110" s="21"/>
      <c r="BL110" s="21"/>
      <c r="BM110" s="21"/>
      <c r="BN110" s="21"/>
      <c r="BO110" s="21"/>
      <c r="BP110" s="21"/>
      <c r="BQ110" s="21"/>
      <c r="BR110" s="21"/>
      <c r="BS110" s="21"/>
      <c r="BT110" s="21"/>
      <c r="BU110" s="21"/>
      <c r="BV110" s="21"/>
      <c r="BW110" s="21"/>
      <c r="BX110" s="21"/>
      <c r="BY110" s="21"/>
      <c r="BZ110" s="21"/>
      <c r="CA110" s="21"/>
      <c r="CB110" s="21"/>
      <c r="CC110" s="21"/>
      <c r="CD110" s="21"/>
      <c r="CE110" s="21"/>
      <c r="CF110" s="21"/>
      <c r="CG110" s="21"/>
      <c r="CH110" s="21"/>
      <c r="CI110" s="21"/>
      <c r="CJ110" s="21"/>
      <c r="CK110" s="21"/>
      <c r="CL110" s="21"/>
      <c r="CM110" s="21"/>
      <c r="CN110" s="21"/>
      <c r="CO110" s="21"/>
      <c r="CP110" s="21"/>
      <c r="CQ110" s="21"/>
      <c r="CR110" s="21"/>
      <c r="CS110" s="21"/>
      <c r="CT110" s="21"/>
      <c r="CU110" s="21"/>
      <c r="CV110" s="21"/>
      <c r="CW110" s="21"/>
      <c r="CX110" s="21"/>
      <c r="CY110" s="21"/>
      <c r="CZ110" s="21"/>
      <c r="DA110" s="21"/>
      <c r="DB110" s="21"/>
      <c r="DC110" s="21"/>
      <c r="DD110" s="21"/>
      <c r="DE110" s="21"/>
      <c r="DF110" s="18"/>
      <c r="DG110" s="18"/>
      <c r="DH110" s="18"/>
      <c r="DI110" s="18"/>
      <c r="DJ110" s="18"/>
      <c r="DK110" s="18"/>
      <c r="DL110" s="18"/>
      <c r="DM110" s="18"/>
      <c r="DN110" s="18"/>
      <c r="DO110" s="18"/>
      <c r="DP110" s="18"/>
      <c r="DQ110" s="18"/>
      <c r="DR110" s="18"/>
      <c r="DS110" s="18"/>
      <c r="DT110" s="18"/>
      <c r="DU110" s="18"/>
      <c r="DV110" s="18"/>
      <c r="DW110" s="18"/>
      <c r="DX110" s="18"/>
      <c r="DY110" s="18"/>
      <c r="DZ110" s="18"/>
      <c r="EA110" s="18"/>
      <c r="EB110" s="18"/>
      <c r="EC110" s="18"/>
      <c r="ED110" s="18"/>
      <c r="EE110" s="18"/>
      <c r="EF110" s="18"/>
      <c r="EG110" s="18"/>
      <c r="EH110" s="18"/>
      <c r="EI110" s="18"/>
      <c r="EJ110" s="18"/>
      <c r="EK110" s="18"/>
      <c r="EL110" s="18"/>
      <c r="EM110" s="18"/>
      <c r="EN110" s="18"/>
      <c r="EO110" s="18"/>
      <c r="EP110" s="18"/>
      <c r="EQ110" s="18"/>
      <c r="ER110" s="18"/>
      <c r="ES110" s="18"/>
      <c r="ET110" s="18"/>
      <c r="EU110" s="18"/>
      <c r="EV110" s="18"/>
      <c r="EW110" s="18"/>
      <c r="EX110" s="18"/>
      <c r="EY110" s="18"/>
      <c r="EZ110" s="18"/>
      <c r="FA110" s="18"/>
      <c r="FB110" s="18"/>
      <c r="FC110" s="18"/>
      <c r="FD110" s="18"/>
      <c r="FE110" s="18"/>
      <c r="FF110" s="18"/>
      <c r="FG110" s="18"/>
      <c r="FH110" s="18"/>
      <c r="FI110" s="18"/>
      <c r="FJ110" s="18"/>
      <c r="FK110" s="18"/>
      <c r="FL110" s="18"/>
      <c r="FM110" s="18"/>
      <c r="FN110" s="18"/>
      <c r="FO110" s="18"/>
    </row>
    <row r="111" ht="15.75" customHeight="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c r="AA111" s="21"/>
      <c r="AB111" s="21"/>
      <c r="AC111" s="21"/>
      <c r="AD111" s="21"/>
      <c r="AE111" s="21"/>
      <c r="AF111" s="21"/>
      <c r="AG111" s="21"/>
      <c r="AH111" s="21"/>
      <c r="AI111" s="21"/>
      <c r="AJ111" s="21"/>
      <c r="AK111" s="21"/>
      <c r="AL111" s="21"/>
      <c r="AM111" s="21"/>
      <c r="AN111" s="21"/>
      <c r="AO111" s="21"/>
      <c r="AP111" s="21"/>
      <c r="AQ111" s="21"/>
      <c r="AR111" s="21"/>
      <c r="AS111" s="21"/>
      <c r="AT111" s="21"/>
      <c r="AU111" s="21"/>
      <c r="AV111" s="21"/>
      <c r="AW111" s="21"/>
      <c r="AX111" s="21"/>
      <c r="AY111" s="21"/>
      <c r="AZ111" s="21"/>
      <c r="BA111" s="21"/>
      <c r="BB111" s="21"/>
      <c r="BC111" s="21"/>
      <c r="BD111" s="21"/>
      <c r="BE111" s="21"/>
      <c r="BF111" s="21"/>
      <c r="BG111" s="21"/>
      <c r="BH111" s="21"/>
      <c r="BI111" s="21"/>
      <c r="BJ111" s="21"/>
      <c r="BK111" s="21"/>
      <c r="BL111" s="21"/>
      <c r="BM111" s="21"/>
      <c r="BN111" s="21"/>
      <c r="BO111" s="21"/>
      <c r="BP111" s="21"/>
      <c r="BQ111" s="21"/>
      <c r="BR111" s="21"/>
      <c r="BS111" s="21"/>
      <c r="BT111" s="21"/>
      <c r="BU111" s="21"/>
      <c r="BV111" s="21"/>
      <c r="BW111" s="21"/>
      <c r="BX111" s="21"/>
      <c r="BY111" s="21"/>
      <c r="BZ111" s="21"/>
      <c r="CA111" s="21"/>
      <c r="CB111" s="21"/>
      <c r="CC111" s="21"/>
      <c r="CD111" s="21"/>
      <c r="CE111" s="21"/>
      <c r="CF111" s="21"/>
      <c r="CG111" s="21"/>
      <c r="CH111" s="21"/>
      <c r="CI111" s="21"/>
      <c r="CJ111" s="21"/>
      <c r="CK111" s="21"/>
      <c r="CL111" s="21"/>
      <c r="CM111" s="21"/>
      <c r="CN111" s="21"/>
      <c r="CO111" s="21"/>
      <c r="CP111" s="21"/>
      <c r="CQ111" s="21"/>
      <c r="CR111" s="21"/>
      <c r="CS111" s="21"/>
      <c r="CT111" s="21"/>
      <c r="CU111" s="21"/>
      <c r="CV111" s="21"/>
      <c r="CW111" s="21"/>
      <c r="CX111" s="21"/>
      <c r="CY111" s="21"/>
      <c r="CZ111" s="21"/>
      <c r="DA111" s="21"/>
      <c r="DB111" s="21"/>
      <c r="DC111" s="21"/>
      <c r="DD111" s="21"/>
      <c r="DE111" s="21"/>
      <c r="DF111" s="18"/>
      <c r="DG111" s="18"/>
      <c r="DH111" s="18"/>
      <c r="DI111" s="18"/>
      <c r="DJ111" s="18"/>
      <c r="DK111" s="18"/>
      <c r="DL111" s="18"/>
      <c r="DM111" s="18"/>
      <c r="DN111" s="18"/>
      <c r="DO111" s="18"/>
      <c r="DP111" s="18"/>
      <c r="DQ111" s="18"/>
      <c r="DR111" s="18"/>
      <c r="DS111" s="18"/>
      <c r="DT111" s="18"/>
      <c r="DU111" s="18"/>
      <c r="DV111" s="18"/>
      <c r="DW111" s="18"/>
      <c r="DX111" s="18"/>
      <c r="DY111" s="18"/>
      <c r="DZ111" s="18"/>
      <c r="EA111" s="18"/>
      <c r="EB111" s="18"/>
      <c r="EC111" s="18"/>
      <c r="ED111" s="18"/>
      <c r="EE111" s="18"/>
      <c r="EF111" s="18"/>
      <c r="EG111" s="18"/>
      <c r="EH111" s="18"/>
      <c r="EI111" s="18"/>
      <c r="EJ111" s="18"/>
      <c r="EK111" s="18"/>
      <c r="EL111" s="18"/>
      <c r="EM111" s="18"/>
      <c r="EN111" s="18"/>
      <c r="EO111" s="18"/>
      <c r="EP111" s="18"/>
      <c r="EQ111" s="18"/>
      <c r="ER111" s="18"/>
      <c r="ES111" s="18"/>
      <c r="ET111" s="18"/>
      <c r="EU111" s="18"/>
      <c r="EV111" s="18"/>
      <c r="EW111" s="18"/>
      <c r="EX111" s="18"/>
      <c r="EY111" s="18"/>
      <c r="EZ111" s="18"/>
      <c r="FA111" s="18"/>
      <c r="FB111" s="18"/>
      <c r="FC111" s="18"/>
      <c r="FD111" s="18"/>
      <c r="FE111" s="18"/>
      <c r="FF111" s="18"/>
      <c r="FG111" s="18"/>
      <c r="FH111" s="18"/>
      <c r="FI111" s="18"/>
      <c r="FJ111" s="18"/>
      <c r="FK111" s="18"/>
      <c r="FL111" s="18"/>
      <c r="FM111" s="18"/>
      <c r="FN111" s="18"/>
      <c r="FO111" s="18"/>
    </row>
    <row r="112" ht="15.75" customHeight="1">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c r="AA112" s="21"/>
      <c r="AB112" s="21"/>
      <c r="AC112" s="21"/>
      <c r="AD112" s="21"/>
      <c r="AE112" s="21"/>
      <c r="AF112" s="21"/>
      <c r="AG112" s="21"/>
      <c r="AH112" s="21"/>
      <c r="AI112" s="21"/>
      <c r="AJ112" s="21"/>
      <c r="AK112" s="21"/>
      <c r="AL112" s="21"/>
      <c r="AM112" s="21"/>
      <c r="AN112" s="21"/>
      <c r="AO112" s="21"/>
      <c r="AP112" s="21"/>
      <c r="AQ112" s="21"/>
      <c r="AR112" s="21"/>
      <c r="AS112" s="21"/>
      <c r="AT112" s="21"/>
      <c r="AU112" s="21"/>
      <c r="AV112" s="21"/>
      <c r="AW112" s="21"/>
      <c r="AX112" s="21"/>
      <c r="AY112" s="21"/>
      <c r="AZ112" s="21"/>
      <c r="BA112" s="21"/>
      <c r="BB112" s="21"/>
      <c r="BC112" s="21"/>
      <c r="BD112" s="21"/>
      <c r="BE112" s="21"/>
      <c r="BF112" s="21"/>
      <c r="BG112" s="21"/>
      <c r="BH112" s="21"/>
      <c r="BI112" s="21"/>
      <c r="BJ112" s="21"/>
      <c r="BK112" s="21"/>
      <c r="BL112" s="21"/>
      <c r="BM112" s="21"/>
      <c r="BN112" s="21"/>
      <c r="BO112" s="21"/>
      <c r="BP112" s="21"/>
      <c r="BQ112" s="21"/>
      <c r="BR112" s="21"/>
      <c r="BS112" s="21"/>
      <c r="BT112" s="21"/>
      <c r="BU112" s="21"/>
      <c r="BV112" s="21"/>
      <c r="BW112" s="21"/>
      <c r="BX112" s="21"/>
      <c r="BY112" s="21"/>
      <c r="BZ112" s="21"/>
      <c r="CA112" s="21"/>
      <c r="CB112" s="21"/>
      <c r="CC112" s="21"/>
      <c r="CD112" s="21"/>
      <c r="CE112" s="21"/>
      <c r="CF112" s="21"/>
      <c r="CG112" s="21"/>
      <c r="CH112" s="21"/>
      <c r="CI112" s="21"/>
      <c r="CJ112" s="21"/>
      <c r="CK112" s="21"/>
      <c r="CL112" s="21"/>
      <c r="CM112" s="21"/>
      <c r="CN112" s="21"/>
      <c r="CO112" s="21"/>
      <c r="CP112" s="21"/>
      <c r="CQ112" s="21"/>
      <c r="CR112" s="21"/>
      <c r="CS112" s="21"/>
      <c r="CT112" s="21"/>
      <c r="CU112" s="21"/>
      <c r="CV112" s="21"/>
      <c r="CW112" s="21"/>
      <c r="CX112" s="21"/>
      <c r="CY112" s="21"/>
      <c r="CZ112" s="21"/>
      <c r="DA112" s="21"/>
      <c r="DB112" s="21"/>
      <c r="DC112" s="21"/>
      <c r="DD112" s="21"/>
      <c r="DE112" s="21"/>
      <c r="DF112" s="18"/>
      <c r="DG112" s="18"/>
      <c r="DH112" s="18"/>
      <c r="DI112" s="18"/>
      <c r="DJ112" s="18"/>
      <c r="DK112" s="18"/>
      <c r="DL112" s="18"/>
      <c r="DM112" s="18"/>
      <c r="DN112" s="18"/>
      <c r="DO112" s="18"/>
      <c r="DP112" s="18"/>
      <c r="DQ112" s="18"/>
      <c r="DR112" s="18"/>
      <c r="DS112" s="18"/>
      <c r="DT112" s="18"/>
      <c r="DU112" s="18"/>
      <c r="DV112" s="18"/>
      <c r="DW112" s="18"/>
      <c r="DX112" s="18"/>
      <c r="DY112" s="18"/>
      <c r="DZ112" s="18"/>
      <c r="EA112" s="18"/>
      <c r="EB112" s="18"/>
      <c r="EC112" s="18"/>
      <c r="ED112" s="18"/>
      <c r="EE112" s="18"/>
      <c r="EF112" s="18"/>
      <c r="EG112" s="18"/>
      <c r="EH112" s="18"/>
      <c r="EI112" s="18"/>
      <c r="EJ112" s="18"/>
      <c r="EK112" s="18"/>
      <c r="EL112" s="18"/>
      <c r="EM112" s="18"/>
      <c r="EN112" s="18"/>
      <c r="EO112" s="18"/>
      <c r="EP112" s="18"/>
      <c r="EQ112" s="18"/>
      <c r="ER112" s="18"/>
      <c r="ES112" s="18"/>
      <c r="ET112" s="18"/>
      <c r="EU112" s="18"/>
      <c r="EV112" s="18"/>
      <c r="EW112" s="18"/>
      <c r="EX112" s="18"/>
      <c r="EY112" s="18"/>
      <c r="EZ112" s="18"/>
      <c r="FA112" s="18"/>
      <c r="FB112" s="18"/>
      <c r="FC112" s="18"/>
      <c r="FD112" s="18"/>
      <c r="FE112" s="18"/>
      <c r="FF112" s="18"/>
      <c r="FG112" s="18"/>
      <c r="FH112" s="18"/>
      <c r="FI112" s="18"/>
      <c r="FJ112" s="18"/>
      <c r="FK112" s="18"/>
      <c r="FL112" s="18"/>
      <c r="FM112" s="18"/>
      <c r="FN112" s="18"/>
      <c r="FO112" s="18"/>
    </row>
    <row r="113" ht="15.75" customHeight="1">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c r="AA113" s="21"/>
      <c r="AB113" s="21"/>
      <c r="AC113" s="21"/>
      <c r="AD113" s="21"/>
      <c r="AE113" s="21"/>
      <c r="AF113" s="21"/>
      <c r="AG113" s="21"/>
      <c r="AH113" s="21"/>
      <c r="AI113" s="21"/>
      <c r="AJ113" s="21"/>
      <c r="AK113" s="21"/>
      <c r="AL113" s="21"/>
      <c r="AM113" s="21"/>
      <c r="AN113" s="21"/>
      <c r="AO113" s="21"/>
      <c r="AP113" s="21"/>
      <c r="AQ113" s="21"/>
      <c r="AR113" s="21"/>
      <c r="AS113" s="21"/>
      <c r="AT113" s="21"/>
      <c r="AU113" s="21"/>
      <c r="AV113" s="21"/>
      <c r="AW113" s="21"/>
      <c r="AX113" s="21"/>
      <c r="AY113" s="21"/>
      <c r="AZ113" s="21"/>
      <c r="BA113" s="21"/>
      <c r="BB113" s="21"/>
      <c r="BC113" s="21"/>
      <c r="BD113" s="21"/>
      <c r="BE113" s="21"/>
      <c r="BF113" s="21"/>
      <c r="BG113" s="21"/>
      <c r="BH113" s="21"/>
      <c r="BI113" s="21"/>
      <c r="BJ113" s="21"/>
      <c r="BK113" s="21"/>
      <c r="BL113" s="21"/>
      <c r="BM113" s="21"/>
      <c r="BN113" s="21"/>
      <c r="BO113" s="21"/>
      <c r="BP113" s="21"/>
      <c r="BQ113" s="21"/>
      <c r="BR113" s="21"/>
      <c r="BS113" s="21"/>
      <c r="BT113" s="21"/>
      <c r="BU113" s="21"/>
      <c r="BV113" s="21"/>
      <c r="BW113" s="21"/>
      <c r="BX113" s="21"/>
      <c r="BY113" s="21"/>
      <c r="BZ113" s="21"/>
      <c r="CA113" s="21"/>
      <c r="CB113" s="21"/>
      <c r="CC113" s="21"/>
      <c r="CD113" s="21"/>
      <c r="CE113" s="21"/>
      <c r="CF113" s="21"/>
      <c r="CG113" s="21"/>
      <c r="CH113" s="21"/>
      <c r="CI113" s="21"/>
      <c r="CJ113" s="21"/>
      <c r="CK113" s="21"/>
      <c r="CL113" s="21"/>
      <c r="CM113" s="21"/>
      <c r="CN113" s="21"/>
      <c r="CO113" s="21"/>
      <c r="CP113" s="21"/>
      <c r="CQ113" s="21"/>
      <c r="CR113" s="21"/>
      <c r="CS113" s="21"/>
      <c r="CT113" s="21"/>
      <c r="CU113" s="21"/>
      <c r="CV113" s="21"/>
      <c r="CW113" s="21"/>
      <c r="CX113" s="21"/>
      <c r="CY113" s="21"/>
      <c r="CZ113" s="21"/>
      <c r="DA113" s="21"/>
      <c r="DB113" s="21"/>
      <c r="DC113" s="21"/>
      <c r="DD113" s="21"/>
      <c r="DE113" s="21"/>
      <c r="DF113" s="18"/>
      <c r="DG113" s="18"/>
      <c r="DH113" s="18"/>
      <c r="DI113" s="18"/>
      <c r="DJ113" s="18"/>
      <c r="DK113" s="18"/>
      <c r="DL113" s="18"/>
      <c r="DM113" s="18"/>
      <c r="DN113" s="18"/>
      <c r="DO113" s="18"/>
      <c r="DP113" s="18"/>
      <c r="DQ113" s="18"/>
      <c r="DR113" s="18"/>
      <c r="DS113" s="18"/>
      <c r="DT113" s="18"/>
      <c r="DU113" s="18"/>
      <c r="DV113" s="18"/>
      <c r="DW113" s="18"/>
      <c r="DX113" s="18"/>
      <c r="DY113" s="18"/>
      <c r="DZ113" s="18"/>
      <c r="EA113" s="18"/>
      <c r="EB113" s="18"/>
      <c r="EC113" s="18"/>
      <c r="ED113" s="18"/>
      <c r="EE113" s="18"/>
      <c r="EF113" s="18"/>
      <c r="EG113" s="18"/>
      <c r="EH113" s="18"/>
      <c r="EI113" s="18"/>
      <c r="EJ113" s="18"/>
      <c r="EK113" s="18"/>
      <c r="EL113" s="18"/>
      <c r="EM113" s="18"/>
      <c r="EN113" s="18"/>
      <c r="EO113" s="18"/>
      <c r="EP113" s="18"/>
      <c r="EQ113" s="18"/>
      <c r="ER113" s="18"/>
      <c r="ES113" s="18"/>
      <c r="ET113" s="18"/>
      <c r="EU113" s="18"/>
      <c r="EV113" s="18"/>
      <c r="EW113" s="18"/>
      <c r="EX113" s="18"/>
      <c r="EY113" s="18"/>
      <c r="EZ113" s="18"/>
      <c r="FA113" s="18"/>
      <c r="FB113" s="18"/>
      <c r="FC113" s="18"/>
      <c r="FD113" s="18"/>
      <c r="FE113" s="18"/>
      <c r="FF113" s="18"/>
      <c r="FG113" s="18"/>
      <c r="FH113" s="18"/>
      <c r="FI113" s="18"/>
      <c r="FJ113" s="18"/>
      <c r="FK113" s="18"/>
      <c r="FL113" s="18"/>
      <c r="FM113" s="18"/>
      <c r="FN113" s="18"/>
      <c r="FO113" s="18"/>
    </row>
    <row r="114" ht="15.75" customHeight="1">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c r="AA114" s="21"/>
      <c r="AB114" s="21"/>
      <c r="AC114" s="21"/>
      <c r="AD114" s="21"/>
      <c r="AE114" s="21"/>
      <c r="AF114" s="21"/>
      <c r="AG114" s="21"/>
      <c r="AH114" s="21"/>
      <c r="AI114" s="21"/>
      <c r="AJ114" s="21"/>
      <c r="AK114" s="21"/>
      <c r="AL114" s="21"/>
      <c r="AM114" s="21"/>
      <c r="AN114" s="21"/>
      <c r="AO114" s="21"/>
      <c r="AP114" s="21"/>
      <c r="AQ114" s="21"/>
      <c r="AR114" s="21"/>
      <c r="AS114" s="21"/>
      <c r="AT114" s="21"/>
      <c r="AU114" s="21"/>
      <c r="AV114" s="21"/>
      <c r="AW114" s="21"/>
      <c r="AX114" s="21"/>
      <c r="AY114" s="21"/>
      <c r="AZ114" s="21"/>
      <c r="BA114" s="21"/>
      <c r="BB114" s="21"/>
      <c r="BC114" s="21"/>
      <c r="BD114" s="21"/>
      <c r="BE114" s="21"/>
      <c r="BF114" s="21"/>
      <c r="BG114" s="21"/>
      <c r="BH114" s="21"/>
      <c r="BI114" s="21"/>
      <c r="BJ114" s="21"/>
      <c r="BK114" s="21"/>
      <c r="BL114" s="21"/>
      <c r="BM114" s="21"/>
      <c r="BN114" s="21"/>
      <c r="BO114" s="21"/>
      <c r="BP114" s="21"/>
      <c r="BQ114" s="21"/>
      <c r="BR114" s="21"/>
      <c r="BS114" s="21"/>
      <c r="BT114" s="21"/>
      <c r="BU114" s="21"/>
      <c r="BV114" s="21"/>
      <c r="BW114" s="21"/>
      <c r="BX114" s="21"/>
      <c r="BY114" s="21"/>
      <c r="BZ114" s="21"/>
      <c r="CA114" s="21"/>
      <c r="CB114" s="21"/>
      <c r="CC114" s="21"/>
      <c r="CD114" s="21"/>
      <c r="CE114" s="21"/>
      <c r="CF114" s="21"/>
      <c r="CG114" s="21"/>
      <c r="CH114" s="21"/>
      <c r="CI114" s="21"/>
      <c r="CJ114" s="21"/>
      <c r="CK114" s="21"/>
      <c r="CL114" s="21"/>
      <c r="CM114" s="21"/>
      <c r="CN114" s="21"/>
      <c r="CO114" s="21"/>
      <c r="CP114" s="21"/>
      <c r="CQ114" s="21"/>
      <c r="CR114" s="21"/>
      <c r="CS114" s="21"/>
      <c r="CT114" s="21"/>
      <c r="CU114" s="21"/>
      <c r="CV114" s="21"/>
      <c r="CW114" s="21"/>
      <c r="CX114" s="21"/>
      <c r="CY114" s="21"/>
      <c r="CZ114" s="21"/>
      <c r="DA114" s="21"/>
      <c r="DB114" s="21"/>
      <c r="DC114" s="21"/>
      <c r="DD114" s="21"/>
      <c r="DE114" s="21"/>
    </row>
    <row r="115" ht="15.75" customHeight="1">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c r="AA115" s="21"/>
      <c r="AB115" s="21"/>
      <c r="AC115" s="21"/>
      <c r="AD115" s="21"/>
      <c r="AE115" s="21"/>
      <c r="AF115" s="21"/>
      <c r="AG115" s="21"/>
      <c r="AH115" s="21"/>
      <c r="AI115" s="21"/>
      <c r="AJ115" s="21"/>
      <c r="AK115" s="21"/>
      <c r="AL115" s="21"/>
      <c r="AM115" s="21"/>
      <c r="AN115" s="21"/>
      <c r="AO115" s="21"/>
      <c r="AP115" s="21"/>
      <c r="AQ115" s="21"/>
      <c r="AR115" s="21"/>
      <c r="AS115" s="21"/>
      <c r="AT115" s="21"/>
      <c r="AU115" s="21"/>
      <c r="AV115" s="21"/>
      <c r="AW115" s="21"/>
      <c r="AX115" s="21"/>
      <c r="AY115" s="21"/>
      <c r="AZ115" s="21"/>
      <c r="BA115" s="21"/>
      <c r="BB115" s="21"/>
      <c r="BC115" s="21"/>
      <c r="BD115" s="21"/>
      <c r="BE115" s="21"/>
      <c r="BF115" s="21"/>
      <c r="BG115" s="21"/>
      <c r="BH115" s="21"/>
      <c r="BI115" s="21"/>
      <c r="BJ115" s="21"/>
      <c r="BK115" s="21"/>
      <c r="BL115" s="21"/>
      <c r="BM115" s="21"/>
      <c r="BN115" s="21"/>
      <c r="BO115" s="21"/>
      <c r="BP115" s="21"/>
      <c r="BQ115" s="21"/>
      <c r="BR115" s="21"/>
      <c r="BS115" s="21"/>
      <c r="BT115" s="21"/>
      <c r="BU115" s="21"/>
      <c r="BV115" s="21"/>
      <c r="BW115" s="21"/>
      <c r="BX115" s="21"/>
      <c r="BY115" s="21"/>
      <c r="BZ115" s="21"/>
      <c r="CA115" s="21"/>
      <c r="CB115" s="21"/>
      <c r="CC115" s="21"/>
      <c r="CD115" s="21"/>
      <c r="CE115" s="21"/>
      <c r="CF115" s="21"/>
      <c r="CG115" s="21"/>
      <c r="CH115" s="21"/>
      <c r="CI115" s="21"/>
      <c r="CJ115" s="21"/>
      <c r="CK115" s="21"/>
      <c r="CL115" s="21"/>
      <c r="CM115" s="21"/>
      <c r="CN115" s="21"/>
      <c r="CO115" s="21"/>
      <c r="CP115" s="21"/>
      <c r="CQ115" s="21"/>
      <c r="CR115" s="21"/>
      <c r="CS115" s="21"/>
      <c r="CT115" s="21"/>
      <c r="CU115" s="21"/>
      <c r="CV115" s="21"/>
      <c r="CW115" s="21"/>
      <c r="CX115" s="21"/>
      <c r="CY115" s="21"/>
      <c r="CZ115" s="21"/>
      <c r="DA115" s="21"/>
      <c r="DB115" s="21"/>
      <c r="DC115" s="21"/>
      <c r="DD115" s="21"/>
      <c r="DE115" s="21"/>
    </row>
    <row r="116" ht="15.75" customHeight="1">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c r="AA116" s="21"/>
      <c r="AB116" s="21"/>
      <c r="AC116" s="21"/>
      <c r="AD116" s="21"/>
      <c r="AE116" s="21"/>
      <c r="AF116" s="21"/>
      <c r="AG116" s="21"/>
      <c r="AH116" s="21"/>
      <c r="AI116" s="21"/>
      <c r="AJ116" s="21"/>
      <c r="AK116" s="21"/>
      <c r="AL116" s="21"/>
      <c r="AM116" s="21"/>
      <c r="AN116" s="21"/>
      <c r="AO116" s="21"/>
      <c r="AP116" s="21"/>
      <c r="AQ116" s="21"/>
      <c r="AR116" s="21"/>
      <c r="AS116" s="21"/>
      <c r="AT116" s="21"/>
      <c r="AU116" s="21"/>
      <c r="AV116" s="21"/>
      <c r="AW116" s="21"/>
      <c r="AX116" s="21"/>
      <c r="AY116" s="21"/>
      <c r="AZ116" s="21"/>
      <c r="BA116" s="21"/>
      <c r="BB116" s="21"/>
      <c r="BC116" s="21"/>
      <c r="BD116" s="21"/>
      <c r="BE116" s="21"/>
      <c r="BF116" s="21"/>
      <c r="BG116" s="21"/>
      <c r="BH116" s="21"/>
      <c r="BI116" s="21"/>
      <c r="BJ116" s="21"/>
      <c r="BK116" s="21"/>
      <c r="BL116" s="21"/>
      <c r="BM116" s="21"/>
      <c r="BN116" s="21"/>
      <c r="BO116" s="21"/>
      <c r="BP116" s="21"/>
      <c r="BQ116" s="21"/>
      <c r="BR116" s="21"/>
      <c r="BS116" s="21"/>
      <c r="BT116" s="21"/>
      <c r="BU116" s="21"/>
      <c r="BV116" s="21"/>
      <c r="BW116" s="21"/>
      <c r="BX116" s="21"/>
      <c r="BY116" s="21"/>
      <c r="BZ116" s="21"/>
      <c r="CA116" s="21"/>
      <c r="CB116" s="21"/>
      <c r="CC116" s="21"/>
      <c r="CD116" s="21"/>
      <c r="CE116" s="21"/>
      <c r="CF116" s="21"/>
      <c r="CG116" s="21"/>
      <c r="CH116" s="21"/>
      <c r="CI116" s="21"/>
      <c r="CJ116" s="21"/>
      <c r="CK116" s="21"/>
      <c r="CL116" s="21"/>
      <c r="CM116" s="21"/>
      <c r="CN116" s="21"/>
      <c r="CO116" s="21"/>
      <c r="CP116" s="21"/>
      <c r="CQ116" s="21"/>
      <c r="CR116" s="21"/>
      <c r="CS116" s="21"/>
      <c r="CT116" s="21"/>
      <c r="CU116" s="21"/>
      <c r="CV116" s="21"/>
      <c r="CW116" s="21"/>
      <c r="CX116" s="21"/>
      <c r="CY116" s="21"/>
      <c r="CZ116" s="21"/>
      <c r="DA116" s="21"/>
      <c r="DB116" s="21"/>
      <c r="DC116" s="21"/>
      <c r="DD116" s="21"/>
      <c r="DE116" s="21"/>
    </row>
    <row r="117" ht="15.75" customHeight="1">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c r="AA117" s="21"/>
      <c r="AB117" s="21"/>
      <c r="AC117" s="21"/>
      <c r="AD117" s="21"/>
      <c r="AE117" s="21"/>
      <c r="AF117" s="21"/>
      <c r="AG117" s="21"/>
      <c r="AH117" s="21"/>
      <c r="AI117" s="21"/>
      <c r="AJ117" s="21"/>
      <c r="AK117" s="21"/>
      <c r="AL117" s="21"/>
      <c r="AM117" s="21"/>
      <c r="AN117" s="21"/>
      <c r="AO117" s="21"/>
      <c r="AP117" s="21"/>
      <c r="AQ117" s="21"/>
      <c r="AR117" s="21"/>
      <c r="AS117" s="21"/>
      <c r="AT117" s="21"/>
      <c r="AU117" s="21"/>
      <c r="AV117" s="21"/>
      <c r="AW117" s="21"/>
      <c r="AX117" s="21"/>
      <c r="AY117" s="21"/>
      <c r="AZ117" s="21"/>
      <c r="BA117" s="21"/>
      <c r="BB117" s="21"/>
      <c r="BC117" s="21"/>
      <c r="BD117" s="21"/>
      <c r="BE117" s="21"/>
      <c r="BF117" s="21"/>
      <c r="BG117" s="21"/>
      <c r="BH117" s="21"/>
      <c r="BI117" s="21"/>
      <c r="BJ117" s="21"/>
      <c r="BK117" s="21"/>
      <c r="BL117" s="21"/>
      <c r="BM117" s="21"/>
      <c r="BN117" s="21"/>
      <c r="BO117" s="21"/>
      <c r="BP117" s="21"/>
      <c r="BQ117" s="21"/>
      <c r="BR117" s="21"/>
      <c r="BS117" s="21"/>
      <c r="BT117" s="21"/>
      <c r="BU117" s="21"/>
      <c r="BV117" s="21"/>
      <c r="BW117" s="21"/>
      <c r="BX117" s="21"/>
      <c r="BY117" s="21"/>
      <c r="BZ117" s="21"/>
      <c r="CA117" s="21"/>
      <c r="CB117" s="21"/>
      <c r="CC117" s="21"/>
      <c r="CD117" s="21"/>
      <c r="CE117" s="21"/>
      <c r="CF117" s="21"/>
      <c r="CG117" s="21"/>
      <c r="CH117" s="21"/>
      <c r="CI117" s="21"/>
      <c r="CJ117" s="21"/>
      <c r="CK117" s="21"/>
      <c r="CL117" s="21"/>
      <c r="CM117" s="21"/>
      <c r="CN117" s="21"/>
      <c r="CO117" s="21"/>
      <c r="CP117" s="21"/>
      <c r="CQ117" s="21"/>
      <c r="CR117" s="21"/>
      <c r="CS117" s="21"/>
      <c r="CT117" s="21"/>
      <c r="CU117" s="21"/>
      <c r="CV117" s="21"/>
      <c r="CW117" s="21"/>
      <c r="CX117" s="21"/>
      <c r="CY117" s="21"/>
      <c r="CZ117" s="21"/>
      <c r="DA117" s="21"/>
      <c r="DB117" s="21"/>
      <c r="DC117" s="21"/>
      <c r="DD117" s="21"/>
      <c r="DE117" s="21"/>
    </row>
    <row r="118" ht="15.75" customHeight="1">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c r="AA118" s="21"/>
      <c r="AB118" s="21"/>
      <c r="AC118" s="21"/>
      <c r="AD118" s="21"/>
      <c r="AE118" s="21"/>
      <c r="AF118" s="21"/>
      <c r="AG118" s="21"/>
      <c r="AH118" s="21"/>
      <c r="AI118" s="21"/>
      <c r="AJ118" s="21"/>
      <c r="AK118" s="21"/>
      <c r="AL118" s="21"/>
      <c r="AM118" s="21"/>
      <c r="AN118" s="21"/>
      <c r="AO118" s="21"/>
      <c r="AP118" s="21"/>
      <c r="AQ118" s="21"/>
      <c r="AR118" s="21"/>
      <c r="AS118" s="21"/>
      <c r="AT118" s="21"/>
      <c r="AU118" s="21"/>
      <c r="AV118" s="21"/>
      <c r="AW118" s="21"/>
      <c r="AX118" s="21"/>
      <c r="AY118" s="21"/>
      <c r="AZ118" s="21"/>
      <c r="BA118" s="21"/>
      <c r="BB118" s="21"/>
      <c r="BC118" s="21"/>
      <c r="BD118" s="21"/>
      <c r="BE118" s="21"/>
      <c r="BF118" s="21"/>
      <c r="BG118" s="21"/>
      <c r="BH118" s="21"/>
      <c r="BI118" s="21"/>
      <c r="BJ118" s="21"/>
      <c r="BK118" s="21"/>
      <c r="BL118" s="21"/>
      <c r="BM118" s="21"/>
      <c r="BN118" s="21"/>
      <c r="BO118" s="21"/>
      <c r="BP118" s="21"/>
      <c r="BQ118" s="21"/>
      <c r="BR118" s="21"/>
      <c r="BS118" s="21"/>
      <c r="BT118" s="21"/>
      <c r="BU118" s="21"/>
      <c r="BV118" s="21"/>
      <c r="BW118" s="21"/>
      <c r="BX118" s="21"/>
      <c r="BY118" s="21"/>
      <c r="BZ118" s="21"/>
      <c r="CA118" s="21"/>
      <c r="CB118" s="21"/>
      <c r="CC118" s="21"/>
      <c r="CD118" s="21"/>
      <c r="CE118" s="21"/>
      <c r="CF118" s="21"/>
      <c r="CG118" s="21"/>
      <c r="CH118" s="21"/>
      <c r="CI118" s="21"/>
      <c r="CJ118" s="21"/>
      <c r="CK118" s="21"/>
      <c r="CL118" s="21"/>
      <c r="CM118" s="21"/>
      <c r="CN118" s="21"/>
      <c r="CO118" s="21"/>
      <c r="CP118" s="21"/>
      <c r="CQ118" s="21"/>
      <c r="CR118" s="21"/>
      <c r="CS118" s="21"/>
      <c r="CT118" s="21"/>
      <c r="CU118" s="21"/>
      <c r="CV118" s="21"/>
      <c r="CW118" s="21"/>
      <c r="CX118" s="21"/>
      <c r="CY118" s="21"/>
      <c r="CZ118" s="21"/>
      <c r="DA118" s="21"/>
      <c r="DB118" s="21"/>
      <c r="DC118" s="21"/>
      <c r="DD118" s="21"/>
      <c r="DE118" s="21"/>
    </row>
    <row r="119" ht="15.75" customHeight="1">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c r="AA119" s="21"/>
      <c r="AB119" s="21"/>
      <c r="AC119" s="21"/>
      <c r="AD119" s="21"/>
      <c r="AE119" s="21"/>
      <c r="AF119" s="21"/>
      <c r="AG119" s="21"/>
      <c r="AH119" s="21"/>
      <c r="AI119" s="21"/>
      <c r="AJ119" s="21"/>
      <c r="AK119" s="21"/>
      <c r="AL119" s="21"/>
      <c r="AM119" s="21"/>
      <c r="AN119" s="21"/>
      <c r="AO119" s="21"/>
      <c r="AP119" s="21"/>
      <c r="AQ119" s="21"/>
      <c r="AR119" s="21"/>
      <c r="AS119" s="21"/>
      <c r="AT119" s="21"/>
      <c r="AU119" s="21"/>
      <c r="AV119" s="21"/>
      <c r="AW119" s="21"/>
      <c r="AX119" s="21"/>
      <c r="AY119" s="21"/>
      <c r="AZ119" s="21"/>
      <c r="BA119" s="21"/>
      <c r="BB119" s="21"/>
      <c r="BC119" s="21"/>
      <c r="BD119" s="21"/>
      <c r="BE119" s="21"/>
      <c r="BF119" s="21"/>
      <c r="BG119" s="21"/>
      <c r="BH119" s="21"/>
      <c r="BI119" s="21"/>
      <c r="BJ119" s="21"/>
      <c r="BK119" s="21"/>
      <c r="BL119" s="21"/>
      <c r="BM119" s="21"/>
      <c r="BN119" s="21"/>
      <c r="BO119" s="21"/>
      <c r="BP119" s="21"/>
      <c r="BQ119" s="21"/>
      <c r="BR119" s="21"/>
      <c r="BS119" s="21"/>
      <c r="BT119" s="21"/>
      <c r="BU119" s="21"/>
      <c r="BV119" s="21"/>
      <c r="BW119" s="21"/>
      <c r="BX119" s="21"/>
      <c r="BY119" s="21"/>
      <c r="BZ119" s="21"/>
      <c r="CA119" s="21"/>
      <c r="CB119" s="21"/>
      <c r="CC119" s="21"/>
      <c r="CD119" s="21"/>
      <c r="CE119" s="21"/>
      <c r="CF119" s="21"/>
      <c r="CG119" s="21"/>
      <c r="CH119" s="21"/>
      <c r="CI119" s="21"/>
      <c r="CJ119" s="21"/>
      <c r="CK119" s="21"/>
      <c r="CL119" s="21"/>
      <c r="CM119" s="21"/>
      <c r="CN119" s="21"/>
      <c r="CO119" s="21"/>
      <c r="CP119" s="21"/>
      <c r="CQ119" s="21"/>
      <c r="CR119" s="21"/>
      <c r="CS119" s="21"/>
      <c r="CT119" s="21"/>
      <c r="CU119" s="21"/>
      <c r="CV119" s="21"/>
      <c r="CW119" s="21"/>
      <c r="CX119" s="21"/>
      <c r="CY119" s="21"/>
      <c r="CZ119" s="21"/>
      <c r="DA119" s="21"/>
      <c r="DB119" s="21"/>
      <c r="DC119" s="21"/>
      <c r="DD119" s="21"/>
      <c r="DE119" s="21"/>
    </row>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3">
    <mergeCell ref="CZ21:DA21"/>
    <mergeCell ref="DB21:DC21"/>
    <mergeCell ref="DD21:DE21"/>
    <mergeCell ref="DF21:DG21"/>
    <mergeCell ref="DH21:DI21"/>
    <mergeCell ref="DJ21:DK21"/>
    <mergeCell ref="DL21:DM21"/>
    <mergeCell ref="DN21:DO21"/>
    <mergeCell ref="DP21:DQ21"/>
    <mergeCell ref="DR21:DS21"/>
    <mergeCell ref="DT21:DU21"/>
    <mergeCell ref="DV21:DW21"/>
    <mergeCell ref="DX21:DY21"/>
    <mergeCell ref="DZ21:EA21"/>
    <mergeCell ref="EB21:EC21"/>
    <mergeCell ref="ED21:EE21"/>
    <mergeCell ref="EF21:EG21"/>
    <mergeCell ref="EH21:EI21"/>
    <mergeCell ref="EJ21:EK21"/>
    <mergeCell ref="EL21:EM21"/>
    <mergeCell ref="EN21:EO21"/>
    <mergeCell ref="FD21:FE21"/>
    <mergeCell ref="FF21:FG21"/>
    <mergeCell ref="FH21:FI21"/>
    <mergeCell ref="FJ21:FK21"/>
    <mergeCell ref="FL21:FM21"/>
    <mergeCell ref="FN21:FO21"/>
    <mergeCell ref="EP21:EQ21"/>
    <mergeCell ref="ER21:ES21"/>
    <mergeCell ref="ET21:EU21"/>
    <mergeCell ref="EV21:EW21"/>
    <mergeCell ref="EX21:EY21"/>
    <mergeCell ref="EZ21:FA21"/>
    <mergeCell ref="FB21:FC21"/>
    <mergeCell ref="H2:I2"/>
    <mergeCell ref="Q2:R2"/>
    <mergeCell ref="T2:V2"/>
    <mergeCell ref="A5:A6"/>
    <mergeCell ref="B5:B6"/>
    <mergeCell ref="C5:D5"/>
    <mergeCell ref="K12:P12"/>
    <mergeCell ref="P20:W20"/>
    <mergeCell ref="Y20:AF20"/>
    <mergeCell ref="AH20:AO20"/>
    <mergeCell ref="AQ20:AX20"/>
    <mergeCell ref="AZ20:BG20"/>
    <mergeCell ref="BR20:BT20"/>
    <mergeCell ref="BV20:CG20"/>
    <mergeCell ref="D21:F21"/>
    <mergeCell ref="G21:I21"/>
    <mergeCell ref="M21:N21"/>
    <mergeCell ref="P21:P22"/>
    <mergeCell ref="Q21:S21"/>
    <mergeCell ref="T21:W21"/>
    <mergeCell ref="Y21:Y22"/>
    <mergeCell ref="Z21:AB21"/>
    <mergeCell ref="AC21:AF21"/>
    <mergeCell ref="AH21:AH22"/>
    <mergeCell ref="AI21:AK21"/>
    <mergeCell ref="AL21:AO21"/>
    <mergeCell ref="AQ21:AQ22"/>
    <mergeCell ref="AR21:AT21"/>
    <mergeCell ref="AU21:AX21"/>
    <mergeCell ref="AZ21:AZ22"/>
    <mergeCell ref="BA21:BC21"/>
    <mergeCell ref="BD21:BG21"/>
    <mergeCell ref="BI21:BI22"/>
    <mergeCell ref="BJ21:BK21"/>
    <mergeCell ref="BV21:BW21"/>
    <mergeCell ref="BX21:BY21"/>
    <mergeCell ref="BZ21:CA21"/>
    <mergeCell ref="CB21:CC21"/>
    <mergeCell ref="CD21:CE21"/>
    <mergeCell ref="CF21:CG21"/>
    <mergeCell ref="CH21:CI21"/>
    <mergeCell ref="CJ21:CK21"/>
    <mergeCell ref="CL21:CM21"/>
    <mergeCell ref="CN21:CO21"/>
    <mergeCell ref="CP21:CQ21"/>
    <mergeCell ref="CR21:CS21"/>
    <mergeCell ref="CT21:CU21"/>
    <mergeCell ref="CV21:CW21"/>
    <mergeCell ref="CX21:CY21"/>
  </mergeCells>
  <conditionalFormatting sqref="K12:K13 L12:L34 K17:K34 K120:L1000">
    <cfRule type="cellIs" dxfId="0" priority="1" operator="greaterThan">
      <formula>6</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3" t="s">
        <v>53</v>
      </c>
      <c r="B1" s="3">
        <v>0.1</v>
      </c>
    </row>
    <row r="2">
      <c r="A2" s="3" t="s">
        <v>106</v>
      </c>
      <c r="B2" s="3">
        <v>2000.0</v>
      </c>
    </row>
    <row r="4">
      <c r="A4" s="3" t="s">
        <v>107</v>
      </c>
      <c r="B4" s="3" t="s">
        <v>108</v>
      </c>
      <c r="C4" s="3" t="s">
        <v>109</v>
      </c>
    </row>
    <row r="5">
      <c r="A5" s="3">
        <v>0.0</v>
      </c>
      <c r="B5" s="154">
        <f>B2</f>
        <v>2000</v>
      </c>
      <c r="C5" s="154">
        <f t="shared" ref="C5:C79" si="1">B5+$B$1*(-68-B5^2/$B$2)</f>
        <v>1793.2</v>
      </c>
    </row>
    <row r="6">
      <c r="A6" s="154">
        <f t="shared" ref="A6:A79" si="2">A5+$B$1</f>
        <v>0.1</v>
      </c>
      <c r="B6" s="154">
        <f t="shared" ref="B6:B79" si="3">C5</f>
        <v>1793.2</v>
      </c>
      <c r="C6" s="154">
        <f t="shared" si="1"/>
        <v>1625.621688</v>
      </c>
    </row>
    <row r="7">
      <c r="A7" s="154">
        <f t="shared" si="2"/>
        <v>0.2</v>
      </c>
      <c r="B7" s="154">
        <f t="shared" si="3"/>
        <v>1625.621688</v>
      </c>
      <c r="C7" s="154">
        <f t="shared" si="1"/>
        <v>1486.689394</v>
      </c>
    </row>
    <row r="8">
      <c r="A8" s="154">
        <f t="shared" si="2"/>
        <v>0.3</v>
      </c>
      <c r="B8" s="154">
        <f t="shared" si="3"/>
        <v>1486.689394</v>
      </c>
      <c r="C8" s="154">
        <f t="shared" si="1"/>
        <v>1369.377127</v>
      </c>
    </row>
    <row r="9">
      <c r="A9" s="154">
        <f t="shared" si="2"/>
        <v>0.4</v>
      </c>
      <c r="B9" s="154">
        <f t="shared" si="3"/>
        <v>1369.377127</v>
      </c>
      <c r="C9" s="154">
        <f t="shared" si="1"/>
        <v>1268.817441</v>
      </c>
    </row>
    <row r="10">
      <c r="A10" s="154">
        <f t="shared" si="2"/>
        <v>0.5</v>
      </c>
      <c r="B10" s="154">
        <f t="shared" si="3"/>
        <v>1268.817441</v>
      </c>
      <c r="C10" s="154">
        <f t="shared" si="1"/>
        <v>1181.522556</v>
      </c>
    </row>
    <row r="11">
      <c r="A11" s="154">
        <f t="shared" si="2"/>
        <v>0.6</v>
      </c>
      <c r="B11" s="154">
        <f t="shared" si="3"/>
        <v>1181.522556</v>
      </c>
      <c r="C11" s="154">
        <f t="shared" si="1"/>
        <v>1104.922778</v>
      </c>
    </row>
    <row r="12">
      <c r="A12" s="154">
        <f t="shared" si="2"/>
        <v>0.7</v>
      </c>
      <c r="B12" s="154">
        <f t="shared" si="3"/>
        <v>1104.922778</v>
      </c>
      <c r="C12" s="154">
        <f t="shared" si="1"/>
        <v>1037.080061</v>
      </c>
    </row>
    <row r="13">
      <c r="A13" s="154">
        <f t="shared" si="2"/>
        <v>0.8</v>
      </c>
      <c r="B13" s="154">
        <f t="shared" si="3"/>
        <v>1037.080061</v>
      </c>
      <c r="C13" s="154">
        <f t="shared" si="1"/>
        <v>976.5033085</v>
      </c>
    </row>
    <row r="14">
      <c r="A14" s="154">
        <f t="shared" si="2"/>
        <v>0.9</v>
      </c>
      <c r="B14" s="154">
        <f t="shared" si="3"/>
        <v>976.5033085</v>
      </c>
      <c r="C14" s="154">
        <f t="shared" si="1"/>
        <v>922.0253729</v>
      </c>
    </row>
    <row r="15">
      <c r="A15" s="154">
        <f t="shared" si="2"/>
        <v>1</v>
      </c>
      <c r="B15" s="154">
        <f t="shared" si="3"/>
        <v>922.0253729</v>
      </c>
      <c r="C15" s="154">
        <f t="shared" si="1"/>
        <v>872.7188335</v>
      </c>
    </row>
    <row r="16">
      <c r="A16" s="154">
        <f t="shared" si="2"/>
        <v>1.1</v>
      </c>
      <c r="B16" s="154">
        <f t="shared" si="3"/>
        <v>872.7188335</v>
      </c>
      <c r="C16" s="154">
        <f t="shared" si="1"/>
        <v>827.8369254</v>
      </c>
    </row>
    <row r="17">
      <c r="A17" s="154">
        <f t="shared" si="2"/>
        <v>1.2</v>
      </c>
      <c r="B17" s="154">
        <f t="shared" si="3"/>
        <v>827.8369254</v>
      </c>
      <c r="C17" s="154">
        <f t="shared" si="1"/>
        <v>786.7712266</v>
      </c>
    </row>
    <row r="18">
      <c r="A18" s="154">
        <f t="shared" si="2"/>
        <v>1.3</v>
      </c>
      <c r="B18" s="154">
        <f t="shared" si="3"/>
        <v>786.7712266</v>
      </c>
      <c r="C18" s="154">
        <f t="shared" si="1"/>
        <v>749.0207785</v>
      </c>
    </row>
    <row r="19">
      <c r="A19" s="154">
        <f t="shared" si="2"/>
        <v>1.4</v>
      </c>
      <c r="B19" s="154">
        <f t="shared" si="3"/>
        <v>749.0207785</v>
      </c>
      <c r="C19" s="154">
        <f t="shared" si="1"/>
        <v>714.1691721</v>
      </c>
    </row>
    <row r="20">
      <c r="A20" s="154">
        <f t="shared" si="2"/>
        <v>1.5</v>
      </c>
      <c r="B20" s="154">
        <f t="shared" si="3"/>
        <v>714.1691721</v>
      </c>
      <c r="C20" s="154">
        <f t="shared" si="1"/>
        <v>681.8672918</v>
      </c>
    </row>
    <row r="21">
      <c r="A21" s="154">
        <f t="shared" si="2"/>
        <v>1.6</v>
      </c>
      <c r="B21" s="154">
        <f t="shared" si="3"/>
        <v>681.8672918</v>
      </c>
      <c r="C21" s="154">
        <f t="shared" si="1"/>
        <v>651.8201416</v>
      </c>
    </row>
    <row r="22">
      <c r="A22" s="154">
        <f t="shared" si="2"/>
        <v>1.7</v>
      </c>
      <c r="B22" s="154">
        <f t="shared" si="3"/>
        <v>651.8201416</v>
      </c>
      <c r="C22" s="154">
        <f t="shared" si="1"/>
        <v>623.7766668</v>
      </c>
    </row>
    <row r="23">
      <c r="A23" s="154">
        <f t="shared" si="2"/>
        <v>1.8</v>
      </c>
      <c r="B23" s="154">
        <f t="shared" si="3"/>
        <v>623.7766668</v>
      </c>
      <c r="C23" s="154">
        <f t="shared" si="1"/>
        <v>597.5218003</v>
      </c>
    </row>
    <row r="24">
      <c r="A24" s="154">
        <f t="shared" si="2"/>
        <v>1.9</v>
      </c>
      <c r="B24" s="154">
        <f t="shared" si="3"/>
        <v>597.5218003</v>
      </c>
      <c r="C24" s="154">
        <f t="shared" si="1"/>
        <v>572.8701852</v>
      </c>
    </row>
    <row r="25">
      <c r="A25" s="154">
        <f t="shared" si="2"/>
        <v>2</v>
      </c>
      <c r="B25" s="154">
        <f t="shared" si="3"/>
        <v>572.8701852</v>
      </c>
      <c r="C25" s="154">
        <f t="shared" si="1"/>
        <v>549.6611727</v>
      </c>
    </row>
    <row r="26">
      <c r="A26" s="154">
        <f t="shared" si="2"/>
        <v>2.1</v>
      </c>
      <c r="B26" s="154">
        <f t="shared" si="3"/>
        <v>549.6611727</v>
      </c>
      <c r="C26" s="154">
        <f t="shared" si="1"/>
        <v>527.7548025</v>
      </c>
    </row>
    <row r="27">
      <c r="A27" s="154">
        <f t="shared" si="2"/>
        <v>2.2</v>
      </c>
      <c r="B27" s="154">
        <f t="shared" si="3"/>
        <v>527.7548025</v>
      </c>
      <c r="C27" s="154">
        <f t="shared" si="1"/>
        <v>507.0285459</v>
      </c>
    </row>
    <row r="28">
      <c r="A28" s="154">
        <f t="shared" si="2"/>
        <v>2.3</v>
      </c>
      <c r="B28" s="154">
        <f t="shared" si="3"/>
        <v>507.0285459</v>
      </c>
      <c r="C28" s="154">
        <f t="shared" si="1"/>
        <v>487.3746486</v>
      </c>
    </row>
    <row r="29">
      <c r="A29" s="154">
        <f t="shared" si="2"/>
        <v>2.4</v>
      </c>
      <c r="B29" s="154">
        <f t="shared" si="3"/>
        <v>487.3746486</v>
      </c>
      <c r="C29" s="154">
        <f t="shared" si="1"/>
        <v>468.6979462</v>
      </c>
    </row>
    <row r="30">
      <c r="A30" s="154">
        <f t="shared" si="2"/>
        <v>2.5</v>
      </c>
      <c r="B30" s="154">
        <f t="shared" si="3"/>
        <v>468.6979462</v>
      </c>
      <c r="C30" s="154">
        <f t="shared" si="1"/>
        <v>450.914058</v>
      </c>
    </row>
    <row r="31">
      <c r="A31" s="154">
        <f t="shared" si="2"/>
        <v>2.6</v>
      </c>
      <c r="B31" s="154">
        <f t="shared" si="3"/>
        <v>450.914058</v>
      </c>
      <c r="C31" s="154">
        <f t="shared" si="1"/>
        <v>433.9478836</v>
      </c>
    </row>
    <row r="32">
      <c r="A32" s="154">
        <f t="shared" si="2"/>
        <v>2.7</v>
      </c>
      <c r="B32" s="154">
        <f t="shared" si="3"/>
        <v>433.9478836</v>
      </c>
      <c r="C32" s="154">
        <f t="shared" si="1"/>
        <v>417.7323453</v>
      </c>
    </row>
    <row r="33">
      <c r="A33" s="154">
        <f t="shared" si="2"/>
        <v>2.8</v>
      </c>
      <c r="B33" s="154">
        <f t="shared" si="3"/>
        <v>417.7323453</v>
      </c>
      <c r="C33" s="154">
        <f t="shared" si="1"/>
        <v>402.2073297</v>
      </c>
    </row>
    <row r="34">
      <c r="A34" s="154">
        <f t="shared" si="2"/>
        <v>2.9</v>
      </c>
      <c r="B34" s="154">
        <f t="shared" si="3"/>
        <v>402.2073297</v>
      </c>
      <c r="C34" s="154">
        <f t="shared" si="1"/>
        <v>387.3187929</v>
      </c>
    </row>
    <row r="35">
      <c r="A35" s="154">
        <f t="shared" si="2"/>
        <v>3</v>
      </c>
      <c r="B35" s="154">
        <f t="shared" si="3"/>
        <v>387.3187929</v>
      </c>
      <c r="C35" s="154">
        <f t="shared" si="1"/>
        <v>373.0180005</v>
      </c>
    </row>
    <row r="36">
      <c r="A36" s="154">
        <f t="shared" si="2"/>
        <v>3.1</v>
      </c>
      <c r="B36" s="154">
        <f t="shared" si="3"/>
        <v>373.0180005</v>
      </c>
      <c r="C36" s="154">
        <f t="shared" si="1"/>
        <v>359.2608791</v>
      </c>
    </row>
    <row r="37">
      <c r="A37" s="154">
        <f t="shared" si="2"/>
        <v>3.2</v>
      </c>
      <c r="B37" s="154">
        <f t="shared" si="3"/>
        <v>359.2608791</v>
      </c>
      <c r="C37" s="154">
        <f t="shared" si="1"/>
        <v>346.0074601</v>
      </c>
    </row>
    <row r="38">
      <c r="A38" s="154">
        <f t="shared" si="2"/>
        <v>3.3</v>
      </c>
      <c r="B38" s="154">
        <f t="shared" si="3"/>
        <v>346.0074601</v>
      </c>
      <c r="C38" s="154">
        <f t="shared" si="1"/>
        <v>333.221402</v>
      </c>
    </row>
    <row r="39">
      <c r="A39" s="154">
        <f t="shared" si="2"/>
        <v>3.4</v>
      </c>
      <c r="B39" s="154">
        <f t="shared" si="3"/>
        <v>333.221402</v>
      </c>
      <c r="C39" s="154">
        <f t="shared" si="1"/>
        <v>320.8695768</v>
      </c>
    </row>
    <row r="40">
      <c r="A40" s="154">
        <f t="shared" si="2"/>
        <v>3.5</v>
      </c>
      <c r="B40" s="154">
        <f t="shared" si="3"/>
        <v>320.8695768</v>
      </c>
      <c r="C40" s="154">
        <f t="shared" si="1"/>
        <v>308.9217126</v>
      </c>
    </row>
    <row r="41">
      <c r="A41" s="154">
        <f t="shared" si="2"/>
        <v>3.6</v>
      </c>
      <c r="B41" s="154">
        <f t="shared" si="3"/>
        <v>308.9217126</v>
      </c>
      <c r="C41" s="154">
        <f t="shared" si="1"/>
        <v>297.3500814</v>
      </c>
    </row>
    <row r="42">
      <c r="A42" s="154">
        <f t="shared" si="2"/>
        <v>3.7</v>
      </c>
      <c r="B42" s="154">
        <f t="shared" si="3"/>
        <v>297.3500814</v>
      </c>
      <c r="C42" s="154">
        <f t="shared" si="1"/>
        <v>286.1292278</v>
      </c>
    </row>
    <row r="43">
      <c r="A43" s="154">
        <f t="shared" si="2"/>
        <v>3.8</v>
      </c>
      <c r="B43" s="154">
        <f t="shared" si="3"/>
        <v>286.1292278</v>
      </c>
      <c r="C43" s="154">
        <f t="shared" si="1"/>
        <v>275.2357311</v>
      </c>
    </row>
    <row r="44">
      <c r="A44" s="154">
        <f t="shared" si="2"/>
        <v>3.9</v>
      </c>
      <c r="B44" s="154">
        <f t="shared" si="3"/>
        <v>275.2357311</v>
      </c>
      <c r="C44" s="154">
        <f t="shared" si="1"/>
        <v>264.6479957</v>
      </c>
    </row>
    <row r="45">
      <c r="A45" s="154">
        <f t="shared" si="2"/>
        <v>4</v>
      </c>
      <c r="B45" s="154">
        <f t="shared" si="3"/>
        <v>264.6479957</v>
      </c>
      <c r="C45" s="154">
        <f t="shared" si="1"/>
        <v>254.3460676</v>
      </c>
    </row>
    <row r="46">
      <c r="A46" s="154">
        <f t="shared" si="2"/>
        <v>4.1</v>
      </c>
      <c r="B46" s="154">
        <f t="shared" si="3"/>
        <v>254.3460676</v>
      </c>
      <c r="C46" s="154">
        <f t="shared" si="1"/>
        <v>244.3114715</v>
      </c>
    </row>
    <row r="47">
      <c r="A47" s="154">
        <f t="shared" si="2"/>
        <v>4.2</v>
      </c>
      <c r="B47" s="154">
        <f t="shared" si="3"/>
        <v>244.3114715</v>
      </c>
      <c r="C47" s="154">
        <f t="shared" si="1"/>
        <v>234.5270667</v>
      </c>
    </row>
    <row r="48">
      <c r="A48" s="154">
        <f t="shared" si="2"/>
        <v>4.3</v>
      </c>
      <c r="B48" s="154">
        <f t="shared" si="3"/>
        <v>234.5270667</v>
      </c>
      <c r="C48" s="154">
        <f t="shared" si="1"/>
        <v>224.9769195</v>
      </c>
    </row>
    <row r="49">
      <c r="A49" s="154">
        <f t="shared" si="2"/>
        <v>4.4</v>
      </c>
      <c r="B49" s="154">
        <f t="shared" si="3"/>
        <v>224.9769195</v>
      </c>
      <c r="C49" s="154">
        <f t="shared" si="1"/>
        <v>215.6461888</v>
      </c>
    </row>
    <row r="50">
      <c r="A50" s="154">
        <f t="shared" si="2"/>
        <v>4.5</v>
      </c>
      <c r="B50" s="154">
        <f t="shared" si="3"/>
        <v>215.6461888</v>
      </c>
      <c r="C50" s="154">
        <f t="shared" si="1"/>
        <v>206.5210248</v>
      </c>
    </row>
    <row r="51">
      <c r="A51" s="154">
        <f t="shared" si="2"/>
        <v>4.6</v>
      </c>
      <c r="B51" s="154">
        <f t="shared" si="3"/>
        <v>206.5210248</v>
      </c>
      <c r="C51" s="154">
        <f t="shared" si="1"/>
        <v>197.5884782</v>
      </c>
    </row>
    <row r="52">
      <c r="A52" s="154">
        <f t="shared" si="2"/>
        <v>4.7</v>
      </c>
      <c r="B52" s="154">
        <f t="shared" si="3"/>
        <v>197.5884782</v>
      </c>
      <c r="C52" s="154">
        <f t="shared" si="1"/>
        <v>188.8364178</v>
      </c>
    </row>
    <row r="53">
      <c r="A53" s="154">
        <f t="shared" si="2"/>
        <v>4.8</v>
      </c>
      <c r="B53" s="154">
        <f t="shared" si="3"/>
        <v>188.8364178</v>
      </c>
      <c r="C53" s="154">
        <f t="shared" si="1"/>
        <v>180.2534582</v>
      </c>
    </row>
    <row r="54">
      <c r="A54" s="154">
        <f t="shared" si="2"/>
        <v>4.9</v>
      </c>
      <c r="B54" s="154">
        <f t="shared" si="3"/>
        <v>180.2534582</v>
      </c>
      <c r="C54" s="154">
        <f t="shared" si="1"/>
        <v>171.8288927</v>
      </c>
    </row>
    <row r="55">
      <c r="A55" s="154">
        <f t="shared" si="2"/>
        <v>5</v>
      </c>
      <c r="B55" s="154">
        <f t="shared" si="3"/>
        <v>171.8288927</v>
      </c>
      <c r="C55" s="154">
        <f t="shared" si="1"/>
        <v>163.5526343</v>
      </c>
    </row>
    <row r="56">
      <c r="A56" s="154">
        <f t="shared" si="2"/>
        <v>5.1</v>
      </c>
      <c r="B56" s="154">
        <f t="shared" si="3"/>
        <v>163.5526343</v>
      </c>
      <c r="C56" s="154">
        <f t="shared" si="1"/>
        <v>155.4151611</v>
      </c>
    </row>
    <row r="57">
      <c r="A57" s="154">
        <f t="shared" si="2"/>
        <v>5.2</v>
      </c>
      <c r="B57" s="154">
        <f t="shared" si="3"/>
        <v>155.4151611</v>
      </c>
      <c r="C57" s="154">
        <f t="shared" si="1"/>
        <v>147.4074675</v>
      </c>
    </row>
    <row r="58">
      <c r="A58" s="154">
        <f t="shared" si="2"/>
        <v>5.3</v>
      </c>
      <c r="B58" s="154">
        <f t="shared" si="3"/>
        <v>147.4074675</v>
      </c>
      <c r="C58" s="154">
        <f t="shared" si="1"/>
        <v>139.5210194</v>
      </c>
    </row>
    <row r="59">
      <c r="A59" s="154">
        <f t="shared" si="2"/>
        <v>5.4</v>
      </c>
      <c r="B59" s="154">
        <f t="shared" si="3"/>
        <v>139.5210194</v>
      </c>
      <c r="C59" s="154">
        <f t="shared" si="1"/>
        <v>131.7477137</v>
      </c>
    </row>
    <row r="60">
      <c r="A60" s="154">
        <f t="shared" si="2"/>
        <v>5.5</v>
      </c>
      <c r="B60" s="154">
        <f t="shared" si="3"/>
        <v>131.7477137</v>
      </c>
      <c r="C60" s="154">
        <f t="shared" si="1"/>
        <v>124.0798407</v>
      </c>
    </row>
    <row r="61">
      <c r="A61" s="154">
        <f t="shared" si="2"/>
        <v>5.6</v>
      </c>
      <c r="B61" s="154">
        <f t="shared" si="3"/>
        <v>124.0798407</v>
      </c>
      <c r="C61" s="154">
        <f t="shared" si="1"/>
        <v>116.5100503</v>
      </c>
    </row>
    <row r="62">
      <c r="A62" s="154">
        <f t="shared" si="2"/>
        <v>5.7</v>
      </c>
      <c r="B62" s="154">
        <f t="shared" si="3"/>
        <v>116.5100503</v>
      </c>
      <c r="C62" s="154">
        <f t="shared" si="1"/>
        <v>109.0313207</v>
      </c>
    </row>
    <row r="63">
      <c r="A63" s="154">
        <f t="shared" si="2"/>
        <v>5.8</v>
      </c>
      <c r="B63" s="154">
        <f t="shared" si="3"/>
        <v>109.0313207</v>
      </c>
      <c r="C63" s="154">
        <f t="shared" si="1"/>
        <v>101.6369293</v>
      </c>
    </row>
    <row r="64">
      <c r="A64" s="154">
        <f t="shared" si="2"/>
        <v>5.9</v>
      </c>
      <c r="B64" s="154">
        <f t="shared" si="3"/>
        <v>101.6369293</v>
      </c>
      <c r="C64" s="154">
        <f t="shared" si="1"/>
        <v>94.32042601</v>
      </c>
    </row>
    <row r="65">
      <c r="A65" s="154">
        <f t="shared" si="2"/>
        <v>6</v>
      </c>
      <c r="B65" s="154">
        <f t="shared" si="3"/>
        <v>94.32042601</v>
      </c>
      <c r="C65" s="154">
        <f t="shared" si="1"/>
        <v>87.07560887</v>
      </c>
    </row>
    <row r="66">
      <c r="A66" s="154">
        <f t="shared" si="2"/>
        <v>6.1</v>
      </c>
      <c r="B66" s="154">
        <f t="shared" si="3"/>
        <v>87.07560887</v>
      </c>
      <c r="C66" s="154">
        <f t="shared" si="1"/>
        <v>79.89650079</v>
      </c>
    </row>
    <row r="67">
      <c r="A67" s="154">
        <f t="shared" si="2"/>
        <v>6.2</v>
      </c>
      <c r="B67" s="154">
        <f t="shared" si="3"/>
        <v>79.89650079</v>
      </c>
      <c r="C67" s="154">
        <f t="shared" si="1"/>
        <v>72.77732825</v>
      </c>
    </row>
    <row r="68">
      <c r="A68" s="154">
        <f t="shared" si="2"/>
        <v>6.3</v>
      </c>
      <c r="B68" s="154">
        <f t="shared" si="3"/>
        <v>72.77732825</v>
      </c>
      <c r="C68" s="154">
        <f t="shared" si="1"/>
        <v>65.71250127</v>
      </c>
    </row>
    <row r="69">
      <c r="A69" s="154">
        <f t="shared" si="2"/>
        <v>6.4</v>
      </c>
      <c r="B69" s="154">
        <f t="shared" si="3"/>
        <v>65.71250127</v>
      </c>
      <c r="C69" s="154">
        <f t="shared" si="1"/>
        <v>58.69659463</v>
      </c>
    </row>
    <row r="70">
      <c r="A70" s="154">
        <f t="shared" si="2"/>
        <v>6.5</v>
      </c>
      <c r="B70" s="154">
        <f t="shared" si="3"/>
        <v>58.69659463</v>
      </c>
      <c r="C70" s="154">
        <f t="shared" si="1"/>
        <v>51.72433012</v>
      </c>
    </row>
    <row r="71">
      <c r="A71" s="154">
        <f t="shared" si="2"/>
        <v>6.6</v>
      </c>
      <c r="B71" s="154">
        <f t="shared" si="3"/>
        <v>51.72433012</v>
      </c>
      <c r="C71" s="154">
        <f t="shared" si="1"/>
        <v>44.7905598</v>
      </c>
    </row>
    <row r="72">
      <c r="A72" s="154">
        <f t="shared" si="2"/>
        <v>6.7</v>
      </c>
      <c r="B72" s="154">
        <f t="shared" si="3"/>
        <v>44.7905598</v>
      </c>
      <c r="C72" s="154">
        <f t="shared" si="1"/>
        <v>37.89025009</v>
      </c>
    </row>
    <row r="73">
      <c r="A73" s="154">
        <f t="shared" si="2"/>
        <v>6.8</v>
      </c>
      <c r="B73" s="154">
        <f t="shared" si="3"/>
        <v>37.89025009</v>
      </c>
      <c r="C73" s="154">
        <f t="shared" si="1"/>
        <v>31.01846654</v>
      </c>
    </row>
    <row r="74">
      <c r="A74" s="154">
        <f t="shared" si="2"/>
        <v>6.9</v>
      </c>
      <c r="B74" s="154">
        <f t="shared" si="3"/>
        <v>31.01846654</v>
      </c>
      <c r="C74" s="154">
        <f t="shared" si="1"/>
        <v>24.17035928</v>
      </c>
    </row>
    <row r="75">
      <c r="A75" s="154">
        <f t="shared" si="2"/>
        <v>7</v>
      </c>
      <c r="B75" s="154">
        <f t="shared" si="3"/>
        <v>24.17035928</v>
      </c>
      <c r="C75" s="154">
        <f t="shared" si="1"/>
        <v>17.34114896</v>
      </c>
    </row>
    <row r="76">
      <c r="A76" s="154">
        <f t="shared" si="2"/>
        <v>7.1</v>
      </c>
      <c r="B76" s="154">
        <f t="shared" si="3"/>
        <v>17.34114896</v>
      </c>
      <c r="C76" s="154">
        <f t="shared" si="1"/>
        <v>10.52611319</v>
      </c>
    </row>
    <row r="77">
      <c r="A77" s="154">
        <f t="shared" si="2"/>
        <v>7.2</v>
      </c>
      <c r="B77" s="154">
        <f t="shared" si="3"/>
        <v>10.52611319</v>
      </c>
      <c r="C77" s="154">
        <f t="shared" si="1"/>
        <v>3.720573237</v>
      </c>
    </row>
    <row r="78">
      <c r="A78" s="154">
        <f t="shared" si="2"/>
        <v>7.3</v>
      </c>
      <c r="B78" s="154">
        <f t="shared" si="3"/>
        <v>3.720573237</v>
      </c>
      <c r="C78" s="154">
        <f t="shared" si="1"/>
        <v>-3.080118897</v>
      </c>
    </row>
    <row r="79">
      <c r="A79" s="154">
        <f t="shared" si="2"/>
        <v>7.4</v>
      </c>
      <c r="B79" s="154">
        <f t="shared" si="3"/>
        <v>-3.080118897</v>
      </c>
      <c r="C79" s="154">
        <f t="shared" si="1"/>
        <v>-9.880593253</v>
      </c>
    </row>
  </sheetData>
  <drawing r:id="rId1"/>
</worksheet>
</file>